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1\"/>
    </mc:Choice>
  </mc:AlternateContent>
  <xr:revisionPtr revIDLastSave="0" documentId="13_ncr:1_{5D414A66-A627-4EDC-93BD-265D1C3CCC28}" xr6:coauthVersionLast="47" xr6:coauthVersionMax="47" xr10:uidLastSave="{00000000-0000-0000-0000-000000000000}"/>
  <bookViews>
    <workbookView xWindow="1995" yWindow="3945" windowWidth="24900" windowHeight="16500" activeTab="2" xr2:uid="{00000000-000D-0000-FFFF-FFFF00000000}"/>
  </bookViews>
  <sheets>
    <sheet name="Exec Summary" sheetId="2" r:id="rId1"/>
    <sheet name="Umsatz Absatz Y 1-3" sheetId="1" r:id="rId2"/>
    <sheet name="Kosten Y 1-3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Q8" i="1"/>
  <c r="AR29" i="4"/>
  <c r="AR11" i="4"/>
  <c r="E18" i="2"/>
  <c r="D18" i="2"/>
  <c r="AG5" i="1" l="1"/>
  <c r="AH5" i="1" s="1"/>
  <c r="AI5" i="1" s="1"/>
  <c r="AJ5" i="1" s="1"/>
  <c r="AK5" i="1" s="1"/>
  <c r="AL5" i="1" s="1"/>
  <c r="AM5" i="1" s="1"/>
  <c r="AN5" i="1" s="1"/>
  <c r="AO5" i="1" s="1"/>
  <c r="AP5" i="1" s="1"/>
  <c r="AF5" i="1"/>
  <c r="AE5" i="1"/>
  <c r="AE16" i="1" s="1"/>
  <c r="C20" i="1"/>
  <c r="AF15" i="1"/>
  <c r="D13" i="2"/>
  <c r="D11" i="2"/>
  <c r="C11" i="2"/>
  <c r="C7" i="2"/>
  <c r="E24" i="4"/>
  <c r="D24" i="4"/>
  <c r="C24" i="4"/>
  <c r="D12" i="4"/>
  <c r="D5" i="2" s="1"/>
  <c r="C12" i="4"/>
  <c r="C5" i="2" s="1"/>
  <c r="AG16" i="4" l="1"/>
  <c r="AH16" i="4"/>
  <c r="AI16" i="4"/>
  <c r="AJ16" i="4"/>
  <c r="AK16" i="4"/>
  <c r="AR12" i="4"/>
  <c r="E12" i="4" s="1"/>
  <c r="E5" i="2" s="1"/>
  <c r="AF16" i="4"/>
  <c r="AN32" i="4"/>
  <c r="AR24" i="4"/>
  <c r="AE24" i="4"/>
  <c r="AE12" i="4"/>
  <c r="R24" i="4"/>
  <c r="R12" i="4"/>
  <c r="H16" i="4"/>
  <c r="I16" i="4"/>
  <c r="P16" i="4"/>
  <c r="Q16" i="4"/>
  <c r="AF19" i="1"/>
  <c r="AF8" i="1"/>
  <c r="AG8" i="1"/>
  <c r="AH8" i="1"/>
  <c r="AI8" i="1" s="1"/>
  <c r="AJ8" i="1" s="1"/>
  <c r="AK8" i="1" s="1"/>
  <c r="AL8" i="1" s="1"/>
  <c r="AM8" i="1" s="1"/>
  <c r="AN8" i="1" s="1"/>
  <c r="AO8" i="1" s="1"/>
  <c r="AP8" i="1" s="1"/>
  <c r="AG9" i="1"/>
  <c r="AH9" i="1" s="1"/>
  <c r="AI9" i="1" s="1"/>
  <c r="AJ9" i="1" s="1"/>
  <c r="AK9" i="1" s="1"/>
  <c r="AL9" i="1" s="1"/>
  <c r="AM9" i="1" s="1"/>
  <c r="AN9" i="1" s="1"/>
  <c r="AO9" i="1" s="1"/>
  <c r="AP9" i="1" s="1"/>
  <c r="AG10" i="1"/>
  <c r="AH10" i="1"/>
  <c r="AI10" i="1" s="1"/>
  <c r="AJ10" i="1" s="1"/>
  <c r="AK10" i="1" s="1"/>
  <c r="AL10" i="1" s="1"/>
  <c r="AM10" i="1" s="1"/>
  <c r="AN10" i="1" s="1"/>
  <c r="AO10" i="1" s="1"/>
  <c r="AP10" i="1" s="1"/>
  <c r="AG11" i="1"/>
  <c r="AH11" i="1"/>
  <c r="AI11" i="1"/>
  <c r="AJ11" i="1"/>
  <c r="AK11" i="1" s="1"/>
  <c r="AL11" i="1" s="1"/>
  <c r="AM11" i="1" s="1"/>
  <c r="AN11" i="1" s="1"/>
  <c r="AO11" i="1" s="1"/>
  <c r="AP11" i="1" s="1"/>
  <c r="AQ11" i="1" s="1"/>
  <c r="AF11" i="1"/>
  <c r="AF10" i="1"/>
  <c r="AF9" i="1"/>
  <c r="AE10" i="1"/>
  <c r="AE9" i="1"/>
  <c r="AE24" i="1" s="1"/>
  <c r="AE8" i="1"/>
  <c r="AE23" i="1" s="1"/>
  <c r="AE11" i="1"/>
  <c r="AN18" i="1"/>
  <c r="AG19" i="1"/>
  <c r="AG18" i="1" s="1"/>
  <c r="AH19" i="1"/>
  <c r="AH18" i="1" s="1"/>
  <c r="AI19" i="1"/>
  <c r="AI18" i="1" s="1"/>
  <c r="AJ19" i="1"/>
  <c r="AJ18" i="1" s="1"/>
  <c r="AK19" i="1"/>
  <c r="AK18" i="1" s="1"/>
  <c r="AL19" i="1"/>
  <c r="AL18" i="1" s="1"/>
  <c r="AM19" i="1"/>
  <c r="AM18" i="1" s="1"/>
  <c r="AN19" i="1"/>
  <c r="AO19" i="1"/>
  <c r="AO18" i="1" s="1"/>
  <c r="AP19" i="1"/>
  <c r="AP18" i="1" s="1"/>
  <c r="AG20" i="1"/>
  <c r="AH20" i="1"/>
  <c r="AI20" i="1"/>
  <c r="AJ20" i="1"/>
  <c r="AK20" i="1"/>
  <c r="AL20" i="1"/>
  <c r="AM20" i="1"/>
  <c r="AN20" i="1"/>
  <c r="AO20" i="1"/>
  <c r="AP20" i="1"/>
  <c r="AF20" i="1"/>
  <c r="AF18" i="1"/>
  <c r="AB20" i="1"/>
  <c r="AA20" i="1"/>
  <c r="Z20" i="1"/>
  <c r="Y20" i="1"/>
  <c r="X20" i="1"/>
  <c r="W20" i="1"/>
  <c r="V20" i="1"/>
  <c r="U20" i="1"/>
  <c r="T20" i="1"/>
  <c r="S20" i="1"/>
  <c r="R20" i="1"/>
  <c r="AE20" i="1"/>
  <c r="AE19" i="1"/>
  <c r="AG6" i="1"/>
  <c r="AH6" i="1"/>
  <c r="AI6" i="1"/>
  <c r="AJ6" i="1" s="1"/>
  <c r="AF6" i="1"/>
  <c r="AE6" i="1"/>
  <c r="S6" i="1"/>
  <c r="T6" i="1" s="1"/>
  <c r="R6" i="1"/>
  <c r="R19" i="1" s="1"/>
  <c r="Q6" i="1"/>
  <c r="Q20" i="1" s="1"/>
  <c r="AP16" i="1"/>
  <c r="AO16" i="1"/>
  <c r="AO14" i="1" s="1"/>
  <c r="AN16" i="1"/>
  <c r="AM16" i="1"/>
  <c r="AL16" i="1"/>
  <c r="AK16" i="1"/>
  <c r="AJ16" i="1"/>
  <c r="AI16" i="1"/>
  <c r="AH16" i="1"/>
  <c r="AH14" i="1" s="1"/>
  <c r="AG16" i="1"/>
  <c r="AG14" i="1" s="1"/>
  <c r="AF16" i="1"/>
  <c r="AF14" i="1" s="1"/>
  <c r="AP15" i="1"/>
  <c r="AO15" i="1"/>
  <c r="AN15" i="1"/>
  <c r="AM15" i="1"/>
  <c r="AM14" i="1" s="1"/>
  <c r="AL15" i="1"/>
  <c r="AK15" i="1"/>
  <c r="AK14" i="1" s="1"/>
  <c r="AJ15" i="1"/>
  <c r="AI15" i="1"/>
  <c r="AI14" i="1" s="1"/>
  <c r="AH15" i="1"/>
  <c r="AG15" i="1"/>
  <c r="AL14" i="1"/>
  <c r="AE15" i="1"/>
  <c r="E43" i="1"/>
  <c r="E42" i="1"/>
  <c r="D42" i="1"/>
  <c r="E41" i="1"/>
  <c r="D41" i="1"/>
  <c r="E40" i="1"/>
  <c r="D40" i="1"/>
  <c r="S19" i="1"/>
  <c r="Q19" i="1"/>
  <c r="C15" i="1"/>
  <c r="E30" i="4"/>
  <c r="E27" i="4"/>
  <c r="AR34" i="4"/>
  <c r="E34" i="4" s="1"/>
  <c r="AR31" i="4"/>
  <c r="E31" i="4" s="1"/>
  <c r="E29" i="4"/>
  <c r="AR27" i="4"/>
  <c r="AR26" i="4"/>
  <c r="E26" i="4" s="1"/>
  <c r="AQ25" i="4"/>
  <c r="AP25" i="4"/>
  <c r="AO25" i="4"/>
  <c r="AN25" i="4"/>
  <c r="AM25" i="4"/>
  <c r="AL25" i="4"/>
  <c r="AK25" i="4"/>
  <c r="AJ25" i="4"/>
  <c r="AI25" i="4"/>
  <c r="AH25" i="4"/>
  <c r="AG25" i="4"/>
  <c r="AR23" i="4"/>
  <c r="E23" i="4" s="1"/>
  <c r="AR21" i="4"/>
  <c r="E21" i="4" s="1"/>
  <c r="AR20" i="4"/>
  <c r="E20" i="4" s="1"/>
  <c r="AQ19" i="4"/>
  <c r="AQ22" i="4" s="1"/>
  <c r="AP19" i="4"/>
  <c r="AP22" i="4" s="1"/>
  <c r="AO19" i="4"/>
  <c r="AO22" i="4" s="1"/>
  <c r="AN19" i="4"/>
  <c r="AN22" i="4" s="1"/>
  <c r="AM19" i="4"/>
  <c r="AM22" i="4" s="1"/>
  <c r="AL19" i="4"/>
  <c r="AK19" i="4"/>
  <c r="AJ19" i="4"/>
  <c r="AJ22" i="4" s="1"/>
  <c r="AI19" i="4"/>
  <c r="AH19" i="4"/>
  <c r="AH22" i="4" s="1"/>
  <c r="AG19" i="4"/>
  <c r="AG22" i="4" s="1"/>
  <c r="AF19" i="4"/>
  <c r="AR15" i="4"/>
  <c r="E15" i="4" s="1"/>
  <c r="E13" i="2" s="1"/>
  <c r="AR14" i="4"/>
  <c r="E14" i="4" s="1"/>
  <c r="E9" i="2" s="1"/>
  <c r="AR13" i="4"/>
  <c r="E13" i="4" s="1"/>
  <c r="E11" i="2" s="1"/>
  <c r="E11" i="4"/>
  <c r="AR9" i="4"/>
  <c r="E9" i="4" s="1"/>
  <c r="AR8" i="4"/>
  <c r="E8" i="4" s="1"/>
  <c r="AR7" i="4"/>
  <c r="E7" i="4" s="1"/>
  <c r="AR6" i="4"/>
  <c r="E6" i="4" s="1"/>
  <c r="AR5" i="4"/>
  <c r="E5" i="4" s="1"/>
  <c r="AQ4" i="4"/>
  <c r="AP4" i="4"/>
  <c r="AP10" i="4" s="1"/>
  <c r="AO4" i="4"/>
  <c r="AO10" i="4" s="1"/>
  <c r="AN4" i="4"/>
  <c r="AN10" i="4" s="1"/>
  <c r="AM4" i="4"/>
  <c r="AM10" i="4" s="1"/>
  <c r="AL4" i="4"/>
  <c r="AK4" i="4"/>
  <c r="AJ4" i="4"/>
  <c r="AI4" i="4"/>
  <c r="AI10" i="4" s="1"/>
  <c r="AH4" i="4"/>
  <c r="AH10" i="4" s="1"/>
  <c r="AG4" i="4"/>
  <c r="AG10" i="4" s="1"/>
  <c r="AF4" i="4"/>
  <c r="AF10" i="4" s="1"/>
  <c r="AE34" i="4"/>
  <c r="D34" i="4" s="1"/>
  <c r="AE31" i="4"/>
  <c r="D31" i="4" s="1"/>
  <c r="AE29" i="4"/>
  <c r="D29" i="4" s="1"/>
  <c r="AE27" i="4"/>
  <c r="D27" i="4" s="1"/>
  <c r="AE26" i="4"/>
  <c r="D26" i="4" s="1"/>
  <c r="AD25" i="4"/>
  <c r="AC25" i="4"/>
  <c r="AB25" i="4"/>
  <c r="AA25" i="4"/>
  <c r="Z25" i="4"/>
  <c r="Y25" i="4"/>
  <c r="X25" i="4"/>
  <c r="W25" i="4"/>
  <c r="V25" i="4"/>
  <c r="U25" i="4"/>
  <c r="T25" i="4"/>
  <c r="AE23" i="4"/>
  <c r="D23" i="4" s="1"/>
  <c r="AE21" i="4"/>
  <c r="D21" i="4" s="1"/>
  <c r="AE20" i="4"/>
  <c r="D20" i="4" s="1"/>
  <c r="AD19" i="4"/>
  <c r="AD22" i="4" s="1"/>
  <c r="AC19" i="4"/>
  <c r="AC22" i="4" s="1"/>
  <c r="AB19" i="4"/>
  <c r="AB22" i="4" s="1"/>
  <c r="AA19" i="4"/>
  <c r="AA22" i="4" s="1"/>
  <c r="Z19" i="4"/>
  <c r="Z22" i="4" s="1"/>
  <c r="Y19" i="4"/>
  <c r="X19" i="4"/>
  <c r="W19" i="4"/>
  <c r="W22" i="4" s="1"/>
  <c r="V19" i="4"/>
  <c r="V22" i="4" s="1"/>
  <c r="U19" i="4"/>
  <c r="U22" i="4" s="1"/>
  <c r="T19" i="4"/>
  <c r="T22" i="4" s="1"/>
  <c r="S19" i="4"/>
  <c r="S22" i="4" s="1"/>
  <c r="AE15" i="4"/>
  <c r="D15" i="4" s="1"/>
  <c r="AE14" i="4"/>
  <c r="D14" i="4" s="1"/>
  <c r="D9" i="2" s="1"/>
  <c r="AE13" i="4"/>
  <c r="D13" i="4" s="1"/>
  <c r="AE11" i="4"/>
  <c r="D11" i="4" s="1"/>
  <c r="AE9" i="4"/>
  <c r="D9" i="4" s="1"/>
  <c r="AE8" i="4"/>
  <c r="D8" i="4" s="1"/>
  <c r="AE7" i="4"/>
  <c r="D7" i="4" s="1"/>
  <c r="AE6" i="4"/>
  <c r="D6" i="4" s="1"/>
  <c r="AE5" i="4"/>
  <c r="D5" i="4" s="1"/>
  <c r="AD4" i="4"/>
  <c r="AC4" i="4"/>
  <c r="AC10" i="4" s="1"/>
  <c r="AB4" i="4"/>
  <c r="AB10" i="4" s="1"/>
  <c r="AA4" i="4"/>
  <c r="Z4" i="4"/>
  <c r="Y4" i="4"/>
  <c r="X4" i="4"/>
  <c r="W4" i="4"/>
  <c r="V4" i="4"/>
  <c r="V10" i="4" s="1"/>
  <c r="U4" i="4"/>
  <c r="U10" i="4" s="1"/>
  <c r="T4" i="4"/>
  <c r="T10" i="4" s="1"/>
  <c r="S4" i="4"/>
  <c r="R34" i="4"/>
  <c r="C34" i="4" s="1"/>
  <c r="C18" i="2" s="1"/>
  <c r="R23" i="4"/>
  <c r="C23" i="4" s="1"/>
  <c r="F4" i="4"/>
  <c r="R11" i="4"/>
  <c r="C11" i="4" s="1"/>
  <c r="R13" i="4"/>
  <c r="C13" i="4" s="1"/>
  <c r="R14" i="4"/>
  <c r="C14" i="4" s="1"/>
  <c r="C9" i="2" s="1"/>
  <c r="R15" i="4"/>
  <c r="C15" i="4" s="1"/>
  <c r="C13" i="2" s="1"/>
  <c r="G4" i="4"/>
  <c r="H4" i="4"/>
  <c r="H10" i="4" s="1"/>
  <c r="I4" i="4"/>
  <c r="I10" i="4" s="1"/>
  <c r="J4" i="4"/>
  <c r="J16" i="4" s="1"/>
  <c r="K4" i="4"/>
  <c r="K10" i="4" s="1"/>
  <c r="L4" i="4"/>
  <c r="L10" i="4" s="1"/>
  <c r="M4" i="4"/>
  <c r="M10" i="4" s="1"/>
  <c r="N4" i="4"/>
  <c r="N10" i="4" s="1"/>
  <c r="O4" i="4"/>
  <c r="O10" i="4" s="1"/>
  <c r="P4" i="4"/>
  <c r="P10" i="4" s="1"/>
  <c r="Q4" i="4"/>
  <c r="Q10" i="4" s="1"/>
  <c r="J10" i="4"/>
  <c r="AP32" i="4" l="1"/>
  <c r="AO32" i="4"/>
  <c r="AM32" i="4"/>
  <c r="AH32" i="4"/>
  <c r="AQ32" i="4"/>
  <c r="AJ32" i="4"/>
  <c r="AG32" i="4"/>
  <c r="AF32" i="4"/>
  <c r="S32" i="4"/>
  <c r="AD32" i="4"/>
  <c r="AC32" i="4"/>
  <c r="AB32" i="4"/>
  <c r="AA32" i="4"/>
  <c r="Z32" i="4"/>
  <c r="W32" i="4"/>
  <c r="V32" i="4"/>
  <c r="U32" i="4"/>
  <c r="T32" i="4"/>
  <c r="AP16" i="4"/>
  <c r="AP36" i="4" s="1"/>
  <c r="AO16" i="4"/>
  <c r="AN16" i="4"/>
  <c r="AM16" i="4"/>
  <c r="AM36" i="4" s="1"/>
  <c r="AN14" i="1"/>
  <c r="AJ14" i="1"/>
  <c r="AP14" i="1"/>
  <c r="AP13" i="1" s="1"/>
  <c r="O16" i="4"/>
  <c r="N16" i="4"/>
  <c r="M16" i="4"/>
  <c r="V16" i="4"/>
  <c r="L16" i="4"/>
  <c r="AC16" i="4"/>
  <c r="U16" i="4"/>
  <c r="K16" i="4"/>
  <c r="AB16" i="4"/>
  <c r="T16" i="4"/>
  <c r="AK6" i="1"/>
  <c r="AG13" i="1"/>
  <c r="AG27" i="1" s="1"/>
  <c r="AF13" i="1"/>
  <c r="U6" i="1"/>
  <c r="T19" i="1"/>
  <c r="AE18" i="1"/>
  <c r="AE14" i="1"/>
  <c r="AR25" i="4"/>
  <c r="E25" i="4" s="1"/>
  <c r="AQ10" i="4"/>
  <c r="AQ16" i="4" s="1"/>
  <c r="Y22" i="4"/>
  <c r="Y32" i="4" s="1"/>
  <c r="AE25" i="4"/>
  <c r="D25" i="4" s="1"/>
  <c r="AI22" i="4"/>
  <c r="AI32" i="4" s="1"/>
  <c r="AI36" i="4" s="1"/>
  <c r="AL22" i="4"/>
  <c r="AL32" i="4" s="1"/>
  <c r="AD10" i="4"/>
  <c r="AD16" i="4" s="1"/>
  <c r="AR4" i="4"/>
  <c r="E4" i="4" s="1"/>
  <c r="AR19" i="4"/>
  <c r="E19" i="4" s="1"/>
  <c r="AK22" i="4"/>
  <c r="AK32" i="4" s="1"/>
  <c r="AJ10" i="4"/>
  <c r="AK10" i="4"/>
  <c r="AL10" i="4"/>
  <c r="AL16" i="4" s="1"/>
  <c r="AH36" i="4"/>
  <c r="AE4" i="4"/>
  <c r="D4" i="4" s="1"/>
  <c r="AE19" i="4"/>
  <c r="D19" i="4" s="1"/>
  <c r="X22" i="4"/>
  <c r="X32" i="4" s="1"/>
  <c r="W10" i="4"/>
  <c r="X10" i="4"/>
  <c r="X16" i="4" s="1"/>
  <c r="Y10" i="4"/>
  <c r="Y16" i="4" s="1"/>
  <c r="Z10" i="4"/>
  <c r="S10" i="4"/>
  <c r="S16" i="4" s="1"/>
  <c r="AA10" i="4"/>
  <c r="AA16" i="4" s="1"/>
  <c r="G10" i="4"/>
  <c r="G16" i="4" s="1"/>
  <c r="R4" i="4"/>
  <c r="C4" i="4" s="1"/>
  <c r="AC36" i="4" l="1"/>
  <c r="U36" i="4"/>
  <c r="Z16" i="4"/>
  <c r="Z36" i="4" s="1"/>
  <c r="W16" i="4"/>
  <c r="W36" i="4" s="1"/>
  <c r="AJ36" i="4"/>
  <c r="AN36" i="4"/>
  <c r="AQ36" i="4"/>
  <c r="AL36" i="4"/>
  <c r="AF36" i="4"/>
  <c r="AH13" i="1"/>
  <c r="AL6" i="1"/>
  <c r="V6" i="1"/>
  <c r="U19" i="1"/>
  <c r="AE13" i="1"/>
  <c r="AO36" i="4"/>
  <c r="AG36" i="4"/>
  <c r="AK36" i="4"/>
  <c r="AB36" i="4"/>
  <c r="T36" i="4"/>
  <c r="V36" i="4"/>
  <c r="AA36" i="4"/>
  <c r="X36" i="4"/>
  <c r="AD36" i="4"/>
  <c r="AE22" i="4"/>
  <c r="D22" i="4" s="1"/>
  <c r="AR16" i="4"/>
  <c r="Y36" i="4"/>
  <c r="AR22" i="4"/>
  <c r="E22" i="4" s="1"/>
  <c r="AR10" i="4"/>
  <c r="E10" i="4" s="1"/>
  <c r="E7" i="2" s="1"/>
  <c r="AR32" i="4"/>
  <c r="E32" i="4" s="1"/>
  <c r="E17" i="2" s="1"/>
  <c r="AE10" i="4"/>
  <c r="D10" i="4" s="1"/>
  <c r="D7" i="2" s="1"/>
  <c r="AI13" i="1" l="1"/>
  <c r="AM6" i="1"/>
  <c r="V19" i="1"/>
  <c r="W6" i="1"/>
  <c r="E16" i="4"/>
  <c r="E36" i="4" s="1"/>
  <c r="E24" i="2" s="1"/>
  <c r="AR36" i="4"/>
  <c r="AE16" i="4"/>
  <c r="S36" i="4"/>
  <c r="AE32" i="4"/>
  <c r="D32" i="4" s="1"/>
  <c r="D17" i="2" s="1"/>
  <c r="R9" i="4"/>
  <c r="C9" i="4" s="1"/>
  <c r="R8" i="4"/>
  <c r="C8" i="4" s="1"/>
  <c r="R7" i="4"/>
  <c r="C7" i="4" s="1"/>
  <c r="R6" i="4"/>
  <c r="C6" i="4" s="1"/>
  <c r="R5" i="4"/>
  <c r="C5" i="4" s="1"/>
  <c r="R31" i="4"/>
  <c r="C31" i="4" s="1"/>
  <c r="R29" i="4"/>
  <c r="C29" i="4" s="1"/>
  <c r="R27" i="4"/>
  <c r="C27" i="4" s="1"/>
  <c r="R26" i="4"/>
  <c r="C26" i="4" s="1"/>
  <c r="P25" i="4"/>
  <c r="O25" i="4"/>
  <c r="N25" i="4"/>
  <c r="M25" i="4"/>
  <c r="L25" i="4"/>
  <c r="K25" i="4"/>
  <c r="J25" i="4"/>
  <c r="I25" i="4"/>
  <c r="H25" i="4"/>
  <c r="G25" i="4"/>
  <c r="R21" i="4"/>
  <c r="C21" i="4" s="1"/>
  <c r="R20" i="4"/>
  <c r="C20" i="4" s="1"/>
  <c r="Q19" i="4"/>
  <c r="P19" i="4"/>
  <c r="O19" i="4"/>
  <c r="N19" i="4"/>
  <c r="M19" i="4"/>
  <c r="L19" i="4"/>
  <c r="K19" i="4"/>
  <c r="J19" i="4"/>
  <c r="I19" i="4"/>
  <c r="H19" i="4"/>
  <c r="G19" i="4"/>
  <c r="F19" i="4"/>
  <c r="AB5" i="1"/>
  <c r="AA5" i="1"/>
  <c r="Z5" i="1"/>
  <c r="Y5" i="1"/>
  <c r="X5" i="1"/>
  <c r="W5" i="1"/>
  <c r="V5" i="1"/>
  <c r="U5" i="1"/>
  <c r="T5" i="1"/>
  <c r="S5" i="1"/>
  <c r="R5" i="1"/>
  <c r="Q5" i="1"/>
  <c r="AN6" i="1" l="1"/>
  <c r="W19" i="1"/>
  <c r="X6" i="1"/>
  <c r="W15" i="1"/>
  <c r="W16" i="1"/>
  <c r="Q15" i="1"/>
  <c r="Q16" i="1"/>
  <c r="R16" i="1"/>
  <c r="R15" i="1"/>
  <c r="S15" i="1"/>
  <c r="S16" i="1"/>
  <c r="AA16" i="1"/>
  <c r="AA15" i="1"/>
  <c r="X15" i="1"/>
  <c r="X16" i="1"/>
  <c r="Y16" i="1"/>
  <c r="Y15" i="1"/>
  <c r="AB16" i="1"/>
  <c r="AB15" i="1"/>
  <c r="Z16" i="1"/>
  <c r="Z15" i="1"/>
  <c r="T16" i="1"/>
  <c r="T15" i="1"/>
  <c r="U15" i="1"/>
  <c r="U16" i="1"/>
  <c r="V15" i="1"/>
  <c r="V16" i="1"/>
  <c r="D16" i="4"/>
  <c r="D36" i="4" s="1"/>
  <c r="D24" i="2" s="1"/>
  <c r="AE36" i="4"/>
  <c r="L22" i="4"/>
  <c r="L32" i="4" s="1"/>
  <c r="M22" i="4"/>
  <c r="F22" i="4"/>
  <c r="F32" i="4" s="1"/>
  <c r="N22" i="4"/>
  <c r="N32" i="4" s="1"/>
  <c r="J22" i="4"/>
  <c r="G22" i="4"/>
  <c r="O22" i="4"/>
  <c r="H22" i="4"/>
  <c r="H32" i="4" s="1"/>
  <c r="P22" i="4"/>
  <c r="P32" i="4" s="1"/>
  <c r="K22" i="4"/>
  <c r="K32" i="4" s="1"/>
  <c r="I22" i="4"/>
  <c r="I32" i="4" s="1"/>
  <c r="Q22" i="4"/>
  <c r="F10" i="4"/>
  <c r="F16" i="4" s="1"/>
  <c r="R25" i="4"/>
  <c r="C25" i="4" s="1"/>
  <c r="R19" i="4"/>
  <c r="C19" i="4" s="1"/>
  <c r="S18" i="1"/>
  <c r="V18" i="1"/>
  <c r="Q4" i="1"/>
  <c r="R4" i="1" s="1"/>
  <c r="AQ5" i="1"/>
  <c r="AC5" i="1"/>
  <c r="T18" i="1"/>
  <c r="Q18" i="1"/>
  <c r="Q13" i="1" s="1"/>
  <c r="U18" i="1"/>
  <c r="R18" i="1"/>
  <c r="W18" i="1"/>
  <c r="J32" i="4" l="1"/>
  <c r="J36" i="4" s="1"/>
  <c r="Q32" i="4"/>
  <c r="Q36" i="4" s="1"/>
  <c r="K36" i="4"/>
  <c r="L36" i="4"/>
  <c r="N36" i="4"/>
  <c r="I36" i="4"/>
  <c r="O32" i="4"/>
  <c r="O36" i="4" s="1"/>
  <c r="P36" i="4"/>
  <c r="H36" i="4"/>
  <c r="G32" i="4"/>
  <c r="M32" i="4"/>
  <c r="M36" i="4" s="1"/>
  <c r="AJ13" i="1"/>
  <c r="AO6" i="1"/>
  <c r="X19" i="1"/>
  <c r="Y6" i="1"/>
  <c r="S4" i="1"/>
  <c r="R8" i="1"/>
  <c r="R23" i="1" s="1"/>
  <c r="Q10" i="1"/>
  <c r="Q25" i="1" s="1"/>
  <c r="Q9" i="1"/>
  <c r="Q24" i="1" s="1"/>
  <c r="T14" i="1"/>
  <c r="Y14" i="1"/>
  <c r="U14" i="1"/>
  <c r="U13" i="1" s="1"/>
  <c r="AB14" i="1"/>
  <c r="Q14" i="1"/>
  <c r="R14" i="1"/>
  <c r="R13" i="1" s="1"/>
  <c r="Z14" i="1"/>
  <c r="R16" i="4"/>
  <c r="C16" i="4" s="1"/>
  <c r="F36" i="4"/>
  <c r="R22" i="4"/>
  <c r="C22" i="4" s="1"/>
  <c r="R10" i="4"/>
  <c r="C10" i="4" s="1"/>
  <c r="W14" i="1"/>
  <c r="W13" i="1" s="1"/>
  <c r="T13" i="1"/>
  <c r="S14" i="1"/>
  <c r="S13" i="1" s="1"/>
  <c r="V14" i="1"/>
  <c r="V13" i="1" s="1"/>
  <c r="AQ15" i="1"/>
  <c r="AQ16" i="1"/>
  <c r="AA14" i="1"/>
  <c r="AC16" i="1"/>
  <c r="AC15" i="1"/>
  <c r="X14" i="1"/>
  <c r="R32" i="4" l="1"/>
  <c r="C32" i="4" s="1"/>
  <c r="G36" i="4"/>
  <c r="R36" i="4" s="1"/>
  <c r="AK13" i="1"/>
  <c r="AP6" i="1"/>
  <c r="Y19" i="1"/>
  <c r="Y18" i="1" s="1"/>
  <c r="Y13" i="1" s="1"/>
  <c r="Z6" i="1"/>
  <c r="X18" i="1"/>
  <c r="X13" i="1" s="1"/>
  <c r="R10" i="1"/>
  <c r="R25" i="1" s="1"/>
  <c r="R9" i="1"/>
  <c r="R24" i="1" s="1"/>
  <c r="T4" i="1"/>
  <c r="U4" i="1" s="1"/>
  <c r="V4" i="1" s="1"/>
  <c r="W4" i="1" s="1"/>
  <c r="X4" i="1" s="1"/>
  <c r="Y4" i="1" s="1"/>
  <c r="Z4" i="1" s="1"/>
  <c r="S10" i="1"/>
  <c r="S9" i="1"/>
  <c r="S8" i="1"/>
  <c r="Q23" i="1"/>
  <c r="Q22" i="1" s="1"/>
  <c r="Q27" i="1" s="1"/>
  <c r="Q7" i="1"/>
  <c r="R22" i="1"/>
  <c r="R27" i="1" s="1"/>
  <c r="AQ14" i="1"/>
  <c r="AC14" i="1"/>
  <c r="C36" i="4" l="1"/>
  <c r="C24" i="2" s="1"/>
  <c r="AL13" i="1"/>
  <c r="AQ20" i="1"/>
  <c r="AQ6" i="1"/>
  <c r="AA6" i="1"/>
  <c r="Z19" i="1"/>
  <c r="T8" i="1"/>
  <c r="S23" i="1"/>
  <c r="T10" i="1"/>
  <c r="S25" i="1"/>
  <c r="T9" i="1"/>
  <c r="S24" i="1"/>
  <c r="R7" i="1"/>
  <c r="AM13" i="1" l="1"/>
  <c r="AB6" i="1"/>
  <c r="AA19" i="1"/>
  <c r="AA18" i="1" s="1"/>
  <c r="AA13" i="1" s="1"/>
  <c r="AA4" i="1"/>
  <c r="Z18" i="1"/>
  <c r="Z13" i="1" s="1"/>
  <c r="U10" i="1"/>
  <c r="T25" i="1"/>
  <c r="U9" i="1"/>
  <c r="T24" i="1"/>
  <c r="U8" i="1"/>
  <c r="T23" i="1"/>
  <c r="S22" i="1"/>
  <c r="S27" i="1" s="1"/>
  <c r="S7" i="1"/>
  <c r="AN13" i="1" l="1"/>
  <c r="AB19" i="1"/>
  <c r="AC20" i="1"/>
  <c r="AC6" i="1"/>
  <c r="AB4" i="1"/>
  <c r="AE4" i="1" s="1"/>
  <c r="V8" i="1"/>
  <c r="U23" i="1"/>
  <c r="V9" i="1"/>
  <c r="U24" i="1"/>
  <c r="V10" i="1"/>
  <c r="U25" i="1"/>
  <c r="T22" i="1"/>
  <c r="T27" i="1" s="1"/>
  <c r="T7" i="1"/>
  <c r="D15" i="1"/>
  <c r="F4" i="1"/>
  <c r="G15" i="1"/>
  <c r="H16" i="1"/>
  <c r="I16" i="1"/>
  <c r="J16" i="1"/>
  <c r="K16" i="1"/>
  <c r="L4" i="1"/>
  <c r="O5" i="1"/>
  <c r="D20" i="1"/>
  <c r="E20" i="1"/>
  <c r="F20" i="1"/>
  <c r="G20" i="1"/>
  <c r="H20" i="1"/>
  <c r="I20" i="1"/>
  <c r="J20" i="1"/>
  <c r="K20" i="1"/>
  <c r="L20" i="1"/>
  <c r="M20" i="1"/>
  <c r="N20" i="1"/>
  <c r="D19" i="1"/>
  <c r="E19" i="1"/>
  <c r="F19" i="1"/>
  <c r="G19" i="1"/>
  <c r="H19" i="1"/>
  <c r="I19" i="1"/>
  <c r="J19" i="1"/>
  <c r="K19" i="1"/>
  <c r="L19" i="1"/>
  <c r="M19" i="1"/>
  <c r="N19" i="1"/>
  <c r="C19" i="1"/>
  <c r="E16" i="1"/>
  <c r="M16" i="1"/>
  <c r="E15" i="1"/>
  <c r="I15" i="1"/>
  <c r="M15" i="1"/>
  <c r="O7" i="1"/>
  <c r="J4" i="1"/>
  <c r="M4" i="1"/>
  <c r="E4" i="1"/>
  <c r="O6" i="1"/>
  <c r="O8" i="1"/>
  <c r="O9" i="1"/>
  <c r="O10" i="1"/>
  <c r="AO13" i="1" l="1"/>
  <c r="AB18" i="1"/>
  <c r="AB13" i="1" s="1"/>
  <c r="AC13" i="1" s="1"/>
  <c r="AC19" i="1"/>
  <c r="AC18" i="1" s="1"/>
  <c r="AF4" i="1"/>
  <c r="AE25" i="1"/>
  <c r="W10" i="1"/>
  <c r="V25" i="1"/>
  <c r="W8" i="1"/>
  <c r="V23" i="1"/>
  <c r="W9" i="1"/>
  <c r="V24" i="1"/>
  <c r="U7" i="1"/>
  <c r="U22" i="1"/>
  <c r="U27" i="1" s="1"/>
  <c r="I14" i="1"/>
  <c r="H18" i="1"/>
  <c r="N18" i="1"/>
  <c r="F18" i="1"/>
  <c r="M18" i="1"/>
  <c r="J18" i="1"/>
  <c r="E18" i="1"/>
  <c r="I4" i="1"/>
  <c r="L18" i="1"/>
  <c r="D18" i="1"/>
  <c r="K18" i="1"/>
  <c r="C18" i="1"/>
  <c r="E14" i="1"/>
  <c r="G18" i="1"/>
  <c r="F15" i="1"/>
  <c r="I18" i="1"/>
  <c r="N4" i="1"/>
  <c r="O4" i="1" s="1"/>
  <c r="N16" i="1"/>
  <c r="G4" i="1"/>
  <c r="N15" i="1"/>
  <c r="G16" i="1"/>
  <c r="G14" i="1" s="1"/>
  <c r="F16" i="1"/>
  <c r="M14" i="1"/>
  <c r="M13" i="1" s="1"/>
  <c r="D4" i="1"/>
  <c r="L15" i="1"/>
  <c r="L16" i="1"/>
  <c r="D16" i="1"/>
  <c r="D14" i="1" s="1"/>
  <c r="J15" i="1"/>
  <c r="K15" i="1"/>
  <c r="K14" i="1" s="1"/>
  <c r="K4" i="1"/>
  <c r="H15" i="1"/>
  <c r="H14" i="1" s="1"/>
  <c r="H4" i="1"/>
  <c r="C16" i="1"/>
  <c r="C14" i="1" s="1"/>
  <c r="C4" i="1"/>
  <c r="O20" i="1"/>
  <c r="O19" i="1"/>
  <c r="AQ13" i="1" l="1"/>
  <c r="AQ19" i="1"/>
  <c r="AQ18" i="1" s="1"/>
  <c r="AF25" i="1"/>
  <c r="AF24" i="1"/>
  <c r="AG4" i="1"/>
  <c r="AE22" i="1"/>
  <c r="AE27" i="1" s="1"/>
  <c r="AE7" i="1"/>
  <c r="X8" i="1"/>
  <c r="W23" i="1"/>
  <c r="X9" i="1"/>
  <c r="W24" i="1"/>
  <c r="X10" i="1"/>
  <c r="W25" i="1"/>
  <c r="V22" i="1"/>
  <c r="V27" i="1" s="1"/>
  <c r="V7" i="1"/>
  <c r="I13" i="1"/>
  <c r="H13" i="1"/>
  <c r="H27" i="1" s="1"/>
  <c r="K13" i="1"/>
  <c r="K27" i="1" s="1"/>
  <c r="O18" i="1"/>
  <c r="N14" i="1"/>
  <c r="N13" i="1" s="1"/>
  <c r="G13" i="1"/>
  <c r="G27" i="1" s="1"/>
  <c r="E13" i="1"/>
  <c r="E27" i="1" s="1"/>
  <c r="D13" i="1"/>
  <c r="D27" i="1" s="1"/>
  <c r="F14" i="1"/>
  <c r="F13" i="1" s="1"/>
  <c r="F27" i="1" s="1"/>
  <c r="L14" i="1"/>
  <c r="J14" i="1"/>
  <c r="C13" i="1"/>
  <c r="C27" i="1" s="1"/>
  <c r="O15" i="1"/>
  <c r="O16" i="1"/>
  <c r="N27" i="1"/>
  <c r="M27" i="1"/>
  <c r="I27" i="1"/>
  <c r="AG25" i="1" l="1"/>
  <c r="AG24" i="1"/>
  <c r="AH4" i="1"/>
  <c r="AF23" i="1"/>
  <c r="AF22" i="1" s="1"/>
  <c r="AF27" i="1" s="1"/>
  <c r="AF7" i="1"/>
  <c r="Y9" i="1"/>
  <c r="X24" i="1"/>
  <c r="Y8" i="1"/>
  <c r="X23" i="1"/>
  <c r="Y10" i="1"/>
  <c r="X25" i="1"/>
  <c r="W7" i="1"/>
  <c r="W22" i="1"/>
  <c r="W27" i="1" s="1"/>
  <c r="J13" i="1"/>
  <c r="J27" i="1" s="1"/>
  <c r="L13" i="1"/>
  <c r="L27" i="1" s="1"/>
  <c r="O14" i="1"/>
  <c r="AG23" i="1" l="1"/>
  <c r="AG22" i="1" s="1"/>
  <c r="AG7" i="1"/>
  <c r="AH25" i="1"/>
  <c r="AH24" i="1"/>
  <c r="AI4" i="1"/>
  <c r="Z10" i="1"/>
  <c r="Y25" i="1"/>
  <c r="Z9" i="1"/>
  <c r="Y24" i="1"/>
  <c r="Z8" i="1"/>
  <c r="Y23" i="1"/>
  <c r="X22" i="1"/>
  <c r="X7" i="1"/>
  <c r="O13" i="1"/>
  <c r="O27" i="1"/>
  <c r="C3" i="2" s="1"/>
  <c r="C15" i="2" s="1"/>
  <c r="C8" i="2" l="1"/>
  <c r="C12" i="2"/>
  <c r="AJ4" i="1"/>
  <c r="AI24" i="1"/>
  <c r="AI25" i="1"/>
  <c r="AH23" i="1"/>
  <c r="AH22" i="1" s="1"/>
  <c r="AH27" i="1" s="1"/>
  <c r="AH7" i="1"/>
  <c r="AA8" i="1"/>
  <c r="Z23" i="1"/>
  <c r="AA9" i="1"/>
  <c r="Z24" i="1"/>
  <c r="AA10" i="1"/>
  <c r="Z25" i="1"/>
  <c r="X27" i="1"/>
  <c r="Y7" i="1"/>
  <c r="Y22" i="1"/>
  <c r="Y27" i="1" s="1"/>
  <c r="C10" i="2"/>
  <c r="C14" i="2"/>
  <c r="C6" i="2"/>
  <c r="AI23" i="1" l="1"/>
  <c r="AI22" i="1" s="1"/>
  <c r="AI27" i="1" s="1"/>
  <c r="AI7" i="1"/>
  <c r="AK4" i="1"/>
  <c r="AJ25" i="1"/>
  <c r="AJ24" i="1"/>
  <c r="AB9" i="1"/>
  <c r="AB24" i="1" s="1"/>
  <c r="AA24" i="1"/>
  <c r="AB10" i="1"/>
  <c r="AB25" i="1" s="1"/>
  <c r="AA25" i="1"/>
  <c r="AB8" i="1"/>
  <c r="AB23" i="1" s="1"/>
  <c r="AA23" i="1"/>
  <c r="Z7" i="1"/>
  <c r="Z22" i="1"/>
  <c r="Z27" i="1" s="1"/>
  <c r="C16" i="2" l="1"/>
  <c r="C21" i="2"/>
  <c r="AJ23" i="1"/>
  <c r="AJ22" i="1" s="1"/>
  <c r="AJ27" i="1" s="1"/>
  <c r="AJ7" i="1"/>
  <c r="AL4" i="1"/>
  <c r="AK24" i="1"/>
  <c r="AK25" i="1"/>
  <c r="AA7" i="1"/>
  <c r="AA22" i="1"/>
  <c r="AA27" i="1" s="1"/>
  <c r="AC4" i="1"/>
  <c r="C22" i="2" l="1"/>
  <c r="AK23" i="1"/>
  <c r="AK22" i="1" s="1"/>
  <c r="AK27" i="1" s="1"/>
  <c r="AK7" i="1"/>
  <c r="AM4" i="1"/>
  <c r="AL24" i="1"/>
  <c r="AL25" i="1"/>
  <c r="AC9" i="1"/>
  <c r="AC25" i="1"/>
  <c r="AC10" i="1"/>
  <c r="AC8" i="1"/>
  <c r="AB7" i="1"/>
  <c r="AC7" i="1" s="1"/>
  <c r="AL23" i="1" l="1"/>
  <c r="AL22" i="1" s="1"/>
  <c r="AL27" i="1" s="1"/>
  <c r="AL7" i="1"/>
  <c r="AN4" i="1"/>
  <c r="AM25" i="1"/>
  <c r="AM24" i="1"/>
  <c r="AB22" i="1"/>
  <c r="AC23" i="1"/>
  <c r="AM23" i="1" l="1"/>
  <c r="AM22" i="1" s="1"/>
  <c r="AM27" i="1" s="1"/>
  <c r="AM7" i="1"/>
  <c r="AO4" i="1"/>
  <c r="AN24" i="1"/>
  <c r="AN25" i="1"/>
  <c r="AB27" i="1"/>
  <c r="AC27" i="1" s="1"/>
  <c r="D3" i="2" s="1"/>
  <c r="D15" i="2" s="1"/>
  <c r="D20" i="2" s="1"/>
  <c r="AC22" i="1"/>
  <c r="D12" i="2" l="1"/>
  <c r="D8" i="2"/>
  <c r="AN23" i="1"/>
  <c r="AN22" i="1" s="1"/>
  <c r="AN27" i="1" s="1"/>
  <c r="AN7" i="1"/>
  <c r="AP4" i="1"/>
  <c r="AO25" i="1"/>
  <c r="AO24" i="1"/>
  <c r="D14" i="2"/>
  <c r="D10" i="2"/>
  <c r="D6" i="2"/>
  <c r="D4" i="2"/>
  <c r="AQ4" i="1" l="1"/>
  <c r="AO7" i="1"/>
  <c r="AO23" i="1"/>
  <c r="AO22" i="1" s="1"/>
  <c r="AO27" i="1" s="1"/>
  <c r="D16" i="2" l="1"/>
  <c r="D21" i="2"/>
  <c r="D22" i="2" s="1"/>
  <c r="AQ10" i="1"/>
  <c r="AP25" i="1"/>
  <c r="AQ25" i="1" s="1"/>
  <c r="AP23" i="1"/>
  <c r="AQ8" i="1"/>
  <c r="AP7" i="1"/>
  <c r="AQ7" i="1" s="1"/>
  <c r="AP24" i="1"/>
  <c r="AQ9" i="1"/>
  <c r="AQ23" i="1" l="1"/>
  <c r="AP22" i="1"/>
  <c r="AP27" i="1" l="1"/>
  <c r="AQ27" i="1" s="1"/>
  <c r="E3" i="2" s="1"/>
  <c r="E15" i="2" s="1"/>
  <c r="E20" i="2" s="1"/>
  <c r="AQ22" i="1"/>
  <c r="E12" i="2" l="1"/>
  <c r="E8" i="2"/>
  <c r="E14" i="2"/>
  <c r="E10" i="2"/>
  <c r="E6" i="2"/>
  <c r="E4" i="2"/>
  <c r="E16" i="2" l="1"/>
  <c r="E21" i="2"/>
  <c r="E22" i="2" s="1"/>
</calcChain>
</file>

<file path=xl/sharedStrings.xml><?xml version="1.0" encoding="utf-8"?>
<sst xmlns="http://schemas.openxmlformats.org/spreadsheetml/2006/main" count="188" uniqueCount="105">
  <si>
    <t>in TEUR</t>
  </si>
  <si>
    <t>Monat 1</t>
  </si>
  <si>
    <t>Monat 2</t>
  </si>
  <si>
    <t>Monat 3</t>
  </si>
  <si>
    <t>Monat 4</t>
  </si>
  <si>
    <t>Monat 5</t>
  </si>
  <si>
    <t>Monat 6</t>
  </si>
  <si>
    <t>Monat 7</t>
  </si>
  <si>
    <t>Monat 8</t>
  </si>
  <si>
    <t>Monat 9</t>
  </si>
  <si>
    <t>Monat 10</t>
  </si>
  <si>
    <t>Monat 11</t>
  </si>
  <si>
    <t>Monat 12</t>
  </si>
  <si>
    <t>FY1</t>
  </si>
  <si>
    <t>Absatz</t>
  </si>
  <si>
    <t xml:space="preserve">  Basis</t>
  </si>
  <si>
    <t xml:space="preserve">    davon Altkunden</t>
  </si>
  <si>
    <t xml:space="preserve">    davon Neukunden</t>
  </si>
  <si>
    <t xml:space="preserve"> Zusatzmodule</t>
  </si>
  <si>
    <t>Umsatz</t>
  </si>
  <si>
    <t>Preis p.M.</t>
  </si>
  <si>
    <t xml:space="preserve">  Zusatzmodule</t>
  </si>
  <si>
    <t>Gesamtleistung</t>
  </si>
  <si>
    <t>davon Terminbuchung</t>
  </si>
  <si>
    <t>davon Fakturierung 2</t>
  </si>
  <si>
    <t>Einzellizenz</t>
  </si>
  <si>
    <t>Teamlizenzen</t>
  </si>
  <si>
    <t>Verteilung Lizenzen</t>
  </si>
  <si>
    <t>Bestandskunden</t>
  </si>
  <si>
    <t>davon Abspringer</t>
  </si>
  <si>
    <t>davon Teamlizenzen</t>
  </si>
  <si>
    <t>davon Einzellizenzen</t>
  </si>
  <si>
    <t>Jahr 2</t>
  </si>
  <si>
    <t>Jahr 3</t>
  </si>
  <si>
    <t>Operations</t>
  </si>
  <si>
    <t>Entwicklung</t>
  </si>
  <si>
    <t>Freelancer</t>
  </si>
  <si>
    <t>IT</t>
  </si>
  <si>
    <t>Beratungen (Legal etc.)</t>
  </si>
  <si>
    <t>Raumkosten</t>
  </si>
  <si>
    <t>sonstige Kosten</t>
  </si>
  <si>
    <t>Lizenzen/Entwicklungsumgebung</t>
  </si>
  <si>
    <t>Hardware</t>
  </si>
  <si>
    <t>FY2</t>
  </si>
  <si>
    <t>FY3</t>
  </si>
  <si>
    <t>Gesamt Entwicklung</t>
  </si>
  <si>
    <t>Wachstum y-o-y</t>
  </si>
  <si>
    <t>% COGS von Umsatz</t>
  </si>
  <si>
    <t>% von Umsatz</t>
  </si>
  <si>
    <t>EBITDA</t>
  </si>
  <si>
    <t>EBITDA Margin</t>
  </si>
  <si>
    <t>Y1</t>
  </si>
  <si>
    <t>Y2</t>
  </si>
  <si>
    <t>Y3</t>
  </si>
  <si>
    <t>Entwicklungskosten</t>
  </si>
  <si>
    <t>Jahresverträge</t>
  </si>
  <si>
    <t>Fullstack Developer</t>
  </si>
  <si>
    <t>Minijobs</t>
  </si>
  <si>
    <t>Mitarbeitende Operations</t>
  </si>
  <si>
    <t>Sales Neu</t>
  </si>
  <si>
    <t>SV/Lohnnebenkosten</t>
  </si>
  <si>
    <t>Geschäftsführer (MS)</t>
  </si>
  <si>
    <t>Leitung Entwicklung (TR)</t>
  </si>
  <si>
    <t>Personalkosten</t>
  </si>
  <si>
    <t>Marketing und Vertrieb</t>
  </si>
  <si>
    <t>Supporter Neu</t>
  </si>
  <si>
    <t>GESAMT Operations</t>
  </si>
  <si>
    <t>Abschreibungen</t>
  </si>
  <si>
    <t>Design/UI/UX, Agenturen</t>
  </si>
  <si>
    <t>GESAMT Kosten</t>
  </si>
  <si>
    <t>Jahr 1 - Entwicklungsjahr</t>
  </si>
  <si>
    <t>Jahr 2 - Roll-Out</t>
  </si>
  <si>
    <t>Jahr 2 - Roll Out</t>
  </si>
  <si>
    <t>Jahr 3 - Expansion</t>
  </si>
  <si>
    <t>Jahr 1 Entwicklungsjahr</t>
  </si>
  <si>
    <t>Zusatzmodule</t>
  </si>
  <si>
    <t>Terminbuchung</t>
  </si>
  <si>
    <t xml:space="preserve">Nutrishop </t>
  </si>
  <si>
    <t>Annahmen Conversion</t>
  </si>
  <si>
    <t>Jahr 2 p.M.</t>
  </si>
  <si>
    <t>Jahr 3 p.M.</t>
  </si>
  <si>
    <t xml:space="preserve">    davon Fakturierung 2</t>
  </si>
  <si>
    <t xml:space="preserve">    davon Terminbuchung</t>
  </si>
  <si>
    <t xml:space="preserve">    davon NutriShop24</t>
  </si>
  <si>
    <t>Fakturierung 2</t>
  </si>
  <si>
    <t>weitere</t>
  </si>
  <si>
    <t>Weitere</t>
  </si>
  <si>
    <t xml:space="preserve">   davon NutriShop</t>
  </si>
  <si>
    <t>davon weitere</t>
  </si>
  <si>
    <t>-</t>
  </si>
  <si>
    <t>Umsatz in TEUR</t>
  </si>
  <si>
    <t>Materialaufwand</t>
  </si>
  <si>
    <t>Materialaufwand Op</t>
  </si>
  <si>
    <t>Marketing&amp;Vertrieb Op</t>
  </si>
  <si>
    <t>Sonstige Kosten Op</t>
  </si>
  <si>
    <t>Personal/Freelancer/SV Op</t>
  </si>
  <si>
    <t>Raumkosten Op</t>
  </si>
  <si>
    <t>SIMPLIMED</t>
  </si>
  <si>
    <t>Steuern</t>
  </si>
  <si>
    <t>Earnings</t>
  </si>
  <si>
    <t>EBT Margin</t>
  </si>
  <si>
    <t>nicht berücksichtigt</t>
  </si>
  <si>
    <t>Zinsen/Erträge und sonst. Aufwand</t>
  </si>
  <si>
    <t>Kosten Gesamt (inkl. Abschreibungen)</t>
  </si>
  <si>
    <t>Jahr 3 - Start Expansion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</si>
</sst>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164" formatCode="0.0"/>
    <numFmt numFmtId="165" formatCode="0.0%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9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i/>
      <sz val="11"/>
      <color rgb="FFC00000"/>
      <name val="Calibri"/>
      <family val="2"/>
      <scheme val="minor"/>
    </font>
    <font>
      <i/>
      <sz val="11"/>
      <color theme="4"/>
      <name val="Calibri"/>
      <family val="2"/>
      <scheme val="minor"/>
    </font>
    <font>
      <i/>
      <sz val="11"/>
      <color theme="3" tint="0.3999755851924192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rgb="FFFFC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0">
    <xf numFmtId="0" fontId="0" fillId="0" borderId="0" xfId="0"/>
    <xf numFmtId="0" fontId="0" fillId="2" borderId="5" xfId="0" applyFill="1" applyBorder="1"/>
    <xf numFmtId="0" fontId="0" fillId="2" borderId="6" xfId="0" applyFill="1" applyBorder="1"/>
    <xf numFmtId="0" fontId="4" fillId="0" borderId="5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4" borderId="0" xfId="0" applyFont="1" applyFill="1"/>
    <xf numFmtId="0" fontId="3" fillId="4" borderId="0" xfId="0" applyFont="1" applyFill="1" applyAlignment="1">
      <alignment horizontal="left" indent="1"/>
    </xf>
    <xf numFmtId="164" fontId="1" fillId="4" borderId="0" xfId="0" applyNumberFormat="1" applyFont="1" applyFill="1"/>
    <xf numFmtId="164" fontId="3" fillId="4" borderId="0" xfId="0" applyNumberFormat="1" applyFont="1" applyFill="1"/>
    <xf numFmtId="0" fontId="1" fillId="4" borderId="10" xfId="0" applyFont="1" applyFill="1" applyBorder="1" applyAlignment="1">
      <alignment horizontal="center" vertical="top"/>
    </xf>
    <xf numFmtId="0" fontId="1" fillId="4" borderId="5" xfId="0" applyFont="1" applyFill="1" applyBorder="1" applyAlignment="1">
      <alignment horizontal="center" vertical="top"/>
    </xf>
    <xf numFmtId="0" fontId="6" fillId="2" borderId="5" xfId="0" applyFont="1" applyFill="1" applyBorder="1" applyAlignment="1">
      <alignment horizontal="center"/>
    </xf>
    <xf numFmtId="0" fontId="1" fillId="2" borderId="8" xfId="0" applyFont="1" applyFill="1" applyBorder="1"/>
    <xf numFmtId="0" fontId="3" fillId="5" borderId="0" xfId="0" applyFont="1" applyFill="1"/>
    <xf numFmtId="9" fontId="0" fillId="0" borderId="0" xfId="0" applyNumberFormat="1"/>
    <xf numFmtId="0" fontId="0" fillId="0" borderId="13" xfId="0" applyBorder="1" applyAlignment="1">
      <alignment horizontal="center"/>
    </xf>
    <xf numFmtId="9" fontId="0" fillId="5" borderId="13" xfId="0" applyNumberFormat="1" applyFill="1" applyBorder="1" applyAlignment="1">
      <alignment horizontal="center"/>
    </xf>
    <xf numFmtId="1" fontId="3" fillId="4" borderId="0" xfId="0" applyNumberFormat="1" applyFont="1" applyFill="1"/>
    <xf numFmtId="1" fontId="3" fillId="4" borderId="9" xfId="0" applyNumberFormat="1" applyFont="1" applyFill="1" applyBorder="1"/>
    <xf numFmtId="164" fontId="3" fillId="4" borderId="9" xfId="0" applyNumberFormat="1" applyFont="1" applyFill="1" applyBorder="1"/>
    <xf numFmtId="164" fontId="3" fillId="4" borderId="7" xfId="0" applyNumberFormat="1" applyFont="1" applyFill="1" applyBorder="1"/>
    <xf numFmtId="0" fontId="1" fillId="7" borderId="12" xfId="0" applyFont="1" applyFill="1" applyBorder="1"/>
    <xf numFmtId="0" fontId="3" fillId="7" borderId="7" xfId="0" applyFont="1" applyFill="1" applyBorder="1"/>
    <xf numFmtId="0" fontId="3" fillId="7" borderId="9" xfId="0" applyFont="1" applyFill="1" applyBorder="1"/>
    <xf numFmtId="0" fontId="1" fillId="7" borderId="7" xfId="0" applyFont="1" applyFill="1" applyBorder="1"/>
    <xf numFmtId="164" fontId="3" fillId="7" borderId="7" xfId="0" applyNumberFormat="1" applyFont="1" applyFill="1" applyBorder="1"/>
    <xf numFmtId="164" fontId="3" fillId="7" borderId="9" xfId="0" applyNumberFormat="1" applyFont="1" applyFill="1" applyBorder="1"/>
    <xf numFmtId="164" fontId="1" fillId="7" borderId="7" xfId="0" applyNumberFormat="1" applyFont="1" applyFill="1" applyBorder="1"/>
    <xf numFmtId="0" fontId="3" fillId="6" borderId="7" xfId="0" applyFont="1" applyFill="1" applyBorder="1"/>
    <xf numFmtId="0" fontId="1" fillId="6" borderId="7" xfId="0" applyFont="1" applyFill="1" applyBorder="1"/>
    <xf numFmtId="164" fontId="3" fillId="6" borderId="7" xfId="0" applyNumberFormat="1" applyFont="1" applyFill="1" applyBorder="1"/>
    <xf numFmtId="164" fontId="1" fillId="6" borderId="7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6" fontId="6" fillId="4" borderId="7" xfId="0" applyNumberFormat="1" applyFont="1" applyFill="1" applyBorder="1" applyAlignment="1">
      <alignment horizontal="center"/>
    </xf>
    <xf numFmtId="0" fontId="4" fillId="4" borderId="7" xfId="0" applyFont="1" applyFill="1" applyBorder="1"/>
    <xf numFmtId="0" fontId="0" fillId="4" borderId="0" xfId="0" applyFill="1"/>
    <xf numFmtId="0" fontId="3" fillId="4" borderId="0" xfId="0" applyFont="1" applyFill="1" applyAlignment="1">
      <alignment horizontal="left"/>
    </xf>
    <xf numFmtId="0" fontId="1" fillId="7" borderId="6" xfId="0" applyFont="1" applyFill="1" applyBorder="1" applyAlignment="1">
      <alignment horizontal="center" vertical="top"/>
    </xf>
    <xf numFmtId="0" fontId="3" fillId="4" borderId="0" xfId="0" applyFont="1" applyFill="1"/>
    <xf numFmtId="1" fontId="1" fillId="4" borderId="0" xfId="0" applyNumberFormat="1" applyFont="1" applyFill="1"/>
    <xf numFmtId="164" fontId="0" fillId="4" borderId="0" xfId="0" applyNumberFormat="1" applyFill="1"/>
    <xf numFmtId="1" fontId="10" fillId="4" borderId="0" xfId="0" applyNumberFormat="1" applyFont="1" applyFill="1"/>
    <xf numFmtId="0" fontId="0" fillId="2" borderId="0" xfId="0" applyFill="1"/>
    <xf numFmtId="0" fontId="3" fillId="4" borderId="0" xfId="0" applyFont="1" applyFill="1" applyAlignment="1">
      <alignment horizontal="left" indent="2"/>
    </xf>
    <xf numFmtId="0" fontId="0" fillId="2" borderId="11" xfId="0" applyFill="1" applyBorder="1"/>
    <xf numFmtId="0" fontId="0" fillId="2" borderId="7" xfId="0" applyFill="1" applyBorder="1"/>
    <xf numFmtId="0" fontId="10" fillId="4" borderId="0" xfId="0" applyFont="1" applyFill="1"/>
    <xf numFmtId="0" fontId="1" fillId="4" borderId="20" xfId="0" applyFont="1" applyFill="1" applyBorder="1" applyAlignment="1">
      <alignment horizontal="center" vertical="top"/>
    </xf>
    <xf numFmtId="0" fontId="1" fillId="4" borderId="19" xfId="0" applyFont="1" applyFill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4" borderId="23" xfId="0" applyFont="1" applyFill="1" applyBorder="1"/>
    <xf numFmtId="0" fontId="1" fillId="4" borderId="25" xfId="0" applyFont="1" applyFill="1" applyBorder="1"/>
    <xf numFmtId="0" fontId="11" fillId="4" borderId="25" xfId="0" applyFont="1" applyFill="1" applyBorder="1" applyAlignment="1">
      <alignment horizontal="left" indent="1"/>
    </xf>
    <xf numFmtId="0" fontId="10" fillId="4" borderId="25" xfId="0" applyFont="1" applyFill="1" applyBorder="1" applyAlignment="1">
      <alignment horizontal="left"/>
    </xf>
    <xf numFmtId="0" fontId="1" fillId="2" borderId="5" xfId="0" applyFont="1" applyFill="1" applyBorder="1"/>
    <xf numFmtId="164" fontId="0" fillId="2" borderId="24" xfId="0" applyNumberFormat="1" applyFill="1" applyBorder="1"/>
    <xf numFmtId="164" fontId="0" fillId="2" borderId="26" xfId="0" applyNumberFormat="1" applyFill="1" applyBorder="1"/>
    <xf numFmtId="164" fontId="0" fillId="2" borderId="27" xfId="0" applyNumberFormat="1" applyFill="1" applyBorder="1"/>
    <xf numFmtId="1" fontId="1" fillId="4" borderId="25" xfId="0" applyNumberFormat="1" applyFont="1" applyFill="1" applyBorder="1"/>
    <xf numFmtId="164" fontId="1" fillId="4" borderId="25" xfId="0" applyNumberFormat="1" applyFont="1" applyFill="1" applyBorder="1"/>
    <xf numFmtId="164" fontId="1" fillId="4" borderId="28" xfId="0" applyNumberFormat="1" applyFont="1" applyFill="1" applyBorder="1"/>
    <xf numFmtId="1" fontId="1" fillId="4" borderId="23" xfId="0" applyNumberFormat="1" applyFont="1" applyFill="1" applyBorder="1"/>
    <xf numFmtId="0" fontId="0" fillId="2" borderId="30" xfId="0" applyFill="1" applyBorder="1"/>
    <xf numFmtId="164" fontId="0" fillId="2" borderId="30" xfId="0" applyNumberFormat="1" applyFill="1" applyBorder="1"/>
    <xf numFmtId="164" fontId="0" fillId="2" borderId="19" xfId="0" applyNumberFormat="1" applyFill="1" applyBorder="1"/>
    <xf numFmtId="164" fontId="0" fillId="2" borderId="31" xfId="0" applyNumberFormat="1" applyFill="1" applyBorder="1"/>
    <xf numFmtId="9" fontId="13" fillId="4" borderId="23" xfId="0" applyNumberFormat="1" applyFont="1" applyFill="1" applyBorder="1" applyAlignment="1">
      <alignment horizontal="center"/>
    </xf>
    <xf numFmtId="0" fontId="3" fillId="4" borderId="25" xfId="0" applyFont="1" applyFill="1" applyBorder="1" applyAlignment="1">
      <alignment horizontal="left" indent="1"/>
    </xf>
    <xf numFmtId="0" fontId="3" fillId="4" borderId="25" xfId="0" applyFont="1" applyFill="1" applyBorder="1" applyAlignment="1">
      <alignment horizontal="left" indent="2"/>
    </xf>
    <xf numFmtId="164" fontId="3" fillId="4" borderId="23" xfId="0" applyNumberFormat="1" applyFont="1" applyFill="1" applyBorder="1"/>
    <xf numFmtId="164" fontId="1" fillId="3" borderId="13" xfId="0" applyNumberFormat="1" applyFont="1" applyFill="1" applyBorder="1"/>
    <xf numFmtId="0" fontId="1" fillId="3" borderId="30" xfId="0" applyFont="1" applyFill="1" applyBorder="1"/>
    <xf numFmtId="164" fontId="1" fillId="3" borderId="19" xfId="0" applyNumberFormat="1" applyFont="1" applyFill="1" applyBorder="1"/>
    <xf numFmtId="164" fontId="1" fillId="3" borderId="31" xfId="0" applyNumberFormat="1" applyFont="1" applyFill="1" applyBorder="1"/>
    <xf numFmtId="0" fontId="0" fillId="9" borderId="30" xfId="0" applyFill="1" applyBorder="1"/>
    <xf numFmtId="0" fontId="0" fillId="9" borderId="19" xfId="0" applyFill="1" applyBorder="1"/>
    <xf numFmtId="0" fontId="0" fillId="9" borderId="31" xfId="0" applyFill="1" applyBorder="1"/>
    <xf numFmtId="0" fontId="0" fillId="9" borderId="13" xfId="0" applyFill="1" applyBorder="1"/>
    <xf numFmtId="0" fontId="1" fillId="9" borderId="30" xfId="0" applyFont="1" applyFill="1" applyBorder="1"/>
    <xf numFmtId="164" fontId="1" fillId="9" borderId="19" xfId="0" applyNumberFormat="1" applyFont="1" applyFill="1" applyBorder="1"/>
    <xf numFmtId="164" fontId="1" fillId="9" borderId="13" xfId="0" applyNumberFormat="1" applyFont="1" applyFill="1" applyBorder="1"/>
    <xf numFmtId="0" fontId="0" fillId="4" borderId="19" xfId="0" applyFill="1" applyBorder="1"/>
    <xf numFmtId="1" fontId="1" fillId="4" borderId="13" xfId="0" applyNumberFormat="1" applyFont="1" applyFill="1" applyBorder="1"/>
    <xf numFmtId="0" fontId="1" fillId="4" borderId="13" xfId="0" applyFont="1" applyFill="1" applyBorder="1"/>
    <xf numFmtId="1" fontId="1" fillId="3" borderId="13" xfId="0" applyNumberFormat="1" applyFont="1" applyFill="1" applyBorder="1"/>
    <xf numFmtId="164" fontId="1" fillId="3" borderId="30" xfId="0" applyNumberFormat="1" applyFont="1" applyFill="1" applyBorder="1"/>
    <xf numFmtId="164" fontId="1" fillId="9" borderId="29" xfId="0" applyNumberFormat="1" applyFont="1" applyFill="1" applyBorder="1"/>
    <xf numFmtId="0" fontId="5" fillId="3" borderId="17" xfId="0" applyFont="1" applyFill="1" applyBorder="1"/>
    <xf numFmtId="1" fontId="1" fillId="2" borderId="13" xfId="0" applyNumberFormat="1" applyFont="1" applyFill="1" applyBorder="1"/>
    <xf numFmtId="1" fontId="12" fillId="4" borderId="25" xfId="0" applyNumberFormat="1" applyFont="1" applyFill="1" applyBorder="1"/>
    <xf numFmtId="1" fontId="1" fillId="5" borderId="13" xfId="0" applyNumberFormat="1" applyFont="1" applyFill="1" applyBorder="1"/>
    <xf numFmtId="0" fontId="4" fillId="0" borderId="30" xfId="0" applyFont="1" applyBorder="1" applyAlignment="1">
      <alignment horizontal="center" vertical="top"/>
    </xf>
    <xf numFmtId="0" fontId="5" fillId="0" borderId="16" xfId="0" applyFont="1" applyBorder="1"/>
    <xf numFmtId="0" fontId="5" fillId="0" borderId="24" xfId="0" applyFont="1" applyBorder="1"/>
    <xf numFmtId="0" fontId="5" fillId="0" borderId="26" xfId="0" applyFont="1" applyBorder="1"/>
    <xf numFmtId="0" fontId="5" fillId="0" borderId="27" xfId="0" applyFont="1" applyBorder="1"/>
    <xf numFmtId="0" fontId="5" fillId="0" borderId="0" xfId="0" applyFont="1"/>
    <xf numFmtId="0" fontId="1" fillId="2" borderId="30" xfId="0" applyFont="1" applyFill="1" applyBorder="1"/>
    <xf numFmtId="1" fontId="12" fillId="4" borderId="23" xfId="0" applyNumberFormat="1" applyFont="1" applyFill="1" applyBorder="1"/>
    <xf numFmtId="0" fontId="3" fillId="4" borderId="23" xfId="0" applyFont="1" applyFill="1" applyBorder="1" applyAlignment="1">
      <alignment horizontal="left" indent="2"/>
    </xf>
    <xf numFmtId="0" fontId="1" fillId="9" borderId="13" xfId="0" applyFont="1" applyFill="1" applyBorder="1"/>
    <xf numFmtId="1" fontId="1" fillId="5" borderId="30" xfId="0" applyNumberFormat="1" applyFont="1" applyFill="1" applyBorder="1"/>
    <xf numFmtId="0" fontId="1" fillId="5" borderId="13" xfId="0" applyFont="1" applyFill="1" applyBorder="1" applyAlignment="1">
      <alignment horizontal="center" vertical="top"/>
    </xf>
    <xf numFmtId="164" fontId="11" fillId="4" borderId="25" xfId="0" applyNumberFormat="1" applyFont="1" applyFill="1" applyBorder="1"/>
    <xf numFmtId="164" fontId="11" fillId="4" borderId="0" xfId="0" applyNumberFormat="1" applyFont="1" applyFill="1"/>
    <xf numFmtId="164" fontId="1" fillId="8" borderId="19" xfId="0" applyNumberFormat="1" applyFont="1" applyFill="1" applyBorder="1"/>
    <xf numFmtId="164" fontId="1" fillId="8" borderId="13" xfId="0" applyNumberFormat="1" applyFont="1" applyFill="1" applyBorder="1"/>
    <xf numFmtId="0" fontId="0" fillId="0" borderId="13" xfId="0" applyBorder="1"/>
    <xf numFmtId="9" fontId="0" fillId="2" borderId="13" xfId="0" applyNumberFormat="1" applyFill="1" applyBorder="1" applyAlignment="1">
      <alignment horizontal="center"/>
    </xf>
    <xf numFmtId="10" fontId="0" fillId="0" borderId="13" xfId="1" applyNumberFormat="1" applyFont="1" applyBorder="1"/>
    <xf numFmtId="164" fontId="1" fillId="7" borderId="5" xfId="0" applyNumberFormat="1" applyFont="1" applyFill="1" applyBorder="1"/>
    <xf numFmtId="164" fontId="1" fillId="7" borderId="6" xfId="0" applyNumberFormat="1" applyFont="1" applyFill="1" applyBorder="1"/>
    <xf numFmtId="164" fontId="1" fillId="6" borderId="5" xfId="0" applyNumberFormat="1" applyFont="1" applyFill="1" applyBorder="1"/>
    <xf numFmtId="164" fontId="1" fillId="6" borderId="6" xfId="0" applyNumberFormat="1" applyFont="1" applyFill="1" applyBorder="1"/>
    <xf numFmtId="164" fontId="3" fillId="7" borderId="0" xfId="0" applyNumberFormat="1" applyFont="1" applyFill="1"/>
    <xf numFmtId="0" fontId="4" fillId="0" borderId="10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3" fillId="4" borderId="7" xfId="0" applyFont="1" applyFill="1" applyBorder="1" applyAlignment="1">
      <alignment horizontal="left" indent="1"/>
    </xf>
    <xf numFmtId="0" fontId="3" fillId="4" borderId="6" xfId="0" applyFont="1" applyFill="1" applyBorder="1" applyAlignment="1">
      <alignment horizontal="left" indent="1"/>
    </xf>
    <xf numFmtId="0" fontId="1" fillId="7" borderId="5" xfId="0" applyFont="1" applyFill="1" applyBorder="1"/>
    <xf numFmtId="0" fontId="1" fillId="4" borderId="12" xfId="0" applyFont="1" applyFill="1" applyBorder="1"/>
    <xf numFmtId="6" fontId="6" fillId="5" borderId="7" xfId="0" applyNumberFormat="1" applyFont="1" applyFill="1" applyBorder="1" applyAlignment="1">
      <alignment horizontal="center"/>
    </xf>
    <xf numFmtId="6" fontId="7" fillId="4" borderId="7" xfId="0" applyNumberFormat="1" applyFont="1" applyFill="1" applyBorder="1" applyAlignment="1">
      <alignment horizontal="center"/>
    </xf>
    <xf numFmtId="0" fontId="0" fillId="7" borderId="6" xfId="0" applyFill="1" applyBorder="1"/>
    <xf numFmtId="0" fontId="1" fillId="7" borderId="1" xfId="0" applyFont="1" applyFill="1" applyBorder="1" applyAlignment="1">
      <alignment horizontal="center" vertical="top"/>
    </xf>
    <xf numFmtId="0" fontId="6" fillId="2" borderId="7" xfId="0" applyFont="1" applyFill="1" applyBorder="1" applyAlignment="1">
      <alignment horizontal="center"/>
    </xf>
    <xf numFmtId="0" fontId="0" fillId="6" borderId="6" xfId="0" applyFill="1" applyBorder="1"/>
    <xf numFmtId="0" fontId="1" fillId="0" borderId="21" xfId="0" applyFont="1" applyBorder="1"/>
    <xf numFmtId="0" fontId="0" fillId="4" borderId="9" xfId="0" applyFill="1" applyBorder="1"/>
    <xf numFmtId="0" fontId="0" fillId="0" borderId="21" xfId="0" applyBorder="1" applyAlignment="1">
      <alignment horizontal="left" indent="1"/>
    </xf>
    <xf numFmtId="6" fontId="0" fillId="4" borderId="0" xfId="0" applyNumberFormat="1" applyFill="1"/>
    <xf numFmtId="0" fontId="0" fillId="0" borderId="21" xfId="0" applyBorder="1"/>
    <xf numFmtId="0" fontId="0" fillId="2" borderId="21" xfId="0" applyFill="1" applyBorder="1" applyAlignment="1">
      <alignment horizontal="left"/>
    </xf>
    <xf numFmtId="9" fontId="0" fillId="2" borderId="18" xfId="0" applyNumberFormat="1" applyFill="1" applyBorder="1" applyAlignment="1">
      <alignment horizontal="center"/>
    </xf>
    <xf numFmtId="10" fontId="0" fillId="0" borderId="18" xfId="1" applyNumberFormat="1" applyFont="1" applyBorder="1"/>
    <xf numFmtId="0" fontId="0" fillId="0" borderId="36" xfId="0" applyBorder="1" applyAlignment="1">
      <alignment horizontal="left" indent="1"/>
    </xf>
    <xf numFmtId="10" fontId="0" fillId="0" borderId="37" xfId="1" applyNumberFormat="1" applyFont="1" applyBorder="1"/>
    <xf numFmtId="2" fontId="0" fillId="4" borderId="0" xfId="0" applyNumberFormat="1" applyFill="1"/>
    <xf numFmtId="0" fontId="0" fillId="0" borderId="35" xfId="0" applyBorder="1" applyAlignment="1">
      <alignment horizontal="center"/>
    </xf>
    <xf numFmtId="0" fontId="1" fillId="0" borderId="33" xfId="0" applyFont="1" applyBorder="1"/>
    <xf numFmtId="0" fontId="0" fillId="0" borderId="15" xfId="0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35" xfId="0" applyNumberFormat="1" applyFill="1" applyBorder="1" applyAlignment="1">
      <alignment horizontal="center"/>
    </xf>
    <xf numFmtId="164" fontId="14" fillId="4" borderId="0" xfId="0" applyNumberFormat="1" applyFont="1" applyFill="1"/>
    <xf numFmtId="164" fontId="14" fillId="6" borderId="7" xfId="0" applyNumberFormat="1" applyFont="1" applyFill="1" applyBorder="1"/>
    <xf numFmtId="0" fontId="1" fillId="4" borderId="13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6" borderId="41" xfId="0" applyFont="1" applyFill="1" applyBorder="1"/>
    <xf numFmtId="1" fontId="1" fillId="7" borderId="7" xfId="0" applyNumberFormat="1" applyFont="1" applyFill="1" applyBorder="1"/>
    <xf numFmtId="1" fontId="3" fillId="7" borderId="7" xfId="0" applyNumberFormat="1" applyFont="1" applyFill="1" applyBorder="1"/>
    <xf numFmtId="2" fontId="1" fillId="4" borderId="23" xfId="0" applyNumberFormat="1" applyFont="1" applyFill="1" applyBorder="1"/>
    <xf numFmtId="2" fontId="3" fillId="4" borderId="23" xfId="0" applyNumberFormat="1" applyFont="1" applyFill="1" applyBorder="1"/>
    <xf numFmtId="164" fontId="1" fillId="4" borderId="13" xfId="0" applyNumberFormat="1" applyFont="1" applyFill="1" applyBorder="1"/>
    <xf numFmtId="2" fontId="1" fillId="9" borderId="13" xfId="0" applyNumberFormat="1" applyFont="1" applyFill="1" applyBorder="1"/>
    <xf numFmtId="164" fontId="10" fillId="4" borderId="0" xfId="0" applyNumberFormat="1" applyFont="1" applyFill="1"/>
    <xf numFmtId="164" fontId="0" fillId="9" borderId="13" xfId="0" applyNumberFormat="1" applyFill="1" applyBorder="1"/>
    <xf numFmtId="164" fontId="1" fillId="4" borderId="23" xfId="0" applyNumberFormat="1" applyFont="1" applyFill="1" applyBorder="1"/>
    <xf numFmtId="164" fontId="11" fillId="4" borderId="28" xfId="0" applyNumberFormat="1" applyFont="1" applyFill="1" applyBorder="1"/>
    <xf numFmtId="0" fontId="1" fillId="4" borderId="24" xfId="0" applyFont="1" applyFill="1" applyBorder="1"/>
    <xf numFmtId="0" fontId="3" fillId="4" borderId="26" xfId="0" applyFont="1" applyFill="1" applyBorder="1" applyAlignment="1">
      <alignment horizontal="left"/>
    </xf>
    <xf numFmtId="0" fontId="3" fillId="4" borderId="42" xfId="0" applyFont="1" applyFill="1" applyBorder="1" applyAlignment="1">
      <alignment horizontal="left"/>
    </xf>
    <xf numFmtId="0" fontId="3" fillId="4" borderId="29" xfId="0" applyFont="1" applyFill="1" applyBorder="1" applyAlignment="1">
      <alignment horizontal="left"/>
    </xf>
    <xf numFmtId="164" fontId="15" fillId="7" borderId="7" xfId="0" applyNumberFormat="1" applyFont="1" applyFill="1" applyBorder="1"/>
    <xf numFmtId="6" fontId="4" fillId="4" borderId="7" xfId="0" applyNumberFormat="1" applyFont="1" applyFill="1" applyBorder="1"/>
    <xf numFmtId="0" fontId="8" fillId="4" borderId="0" xfId="0" applyFont="1" applyFill="1"/>
    <xf numFmtId="164" fontId="10" fillId="2" borderId="0" xfId="0" applyNumberFormat="1" applyFont="1" applyFill="1"/>
    <xf numFmtId="164" fontId="1" fillId="2" borderId="0" xfId="0" applyNumberFormat="1" applyFont="1" applyFill="1"/>
    <xf numFmtId="0" fontId="1" fillId="7" borderId="24" xfId="0" applyFont="1" applyFill="1" applyBorder="1" applyAlignment="1">
      <alignment horizontal="left"/>
    </xf>
    <xf numFmtId="0" fontId="1" fillId="7" borderId="26" xfId="0" applyFont="1" applyFill="1" applyBorder="1" applyAlignment="1">
      <alignment horizontal="left"/>
    </xf>
    <xf numFmtId="0" fontId="3" fillId="7" borderId="42" xfId="0" applyFont="1" applyFill="1" applyBorder="1" applyAlignment="1">
      <alignment horizontal="left"/>
    </xf>
    <xf numFmtId="0" fontId="3" fillId="7" borderId="29" xfId="0" applyFont="1" applyFill="1" applyBorder="1" applyAlignment="1">
      <alignment horizontal="left"/>
    </xf>
    <xf numFmtId="0" fontId="16" fillId="4" borderId="0" xfId="0" applyFont="1" applyFill="1" applyAlignment="1">
      <alignment horizontal="left"/>
    </xf>
    <xf numFmtId="0" fontId="1" fillId="4" borderId="22" xfId="0" applyFont="1" applyFill="1" applyBorder="1" applyAlignment="1">
      <alignment horizontal="center"/>
    </xf>
    <xf numFmtId="164" fontId="0" fillId="7" borderId="15" xfId="0" applyNumberFormat="1" applyFill="1" applyBorder="1"/>
    <xf numFmtId="165" fontId="12" fillId="7" borderId="15" xfId="1" applyNumberFormat="1" applyFont="1" applyFill="1" applyBorder="1"/>
    <xf numFmtId="0" fontId="1" fillId="4" borderId="24" xfId="0" applyFont="1" applyFill="1" applyBorder="1" applyAlignment="1">
      <alignment horizontal="left"/>
    </xf>
    <xf numFmtId="0" fontId="0" fillId="4" borderId="26" xfId="0" applyFill="1" applyBorder="1" applyAlignment="1">
      <alignment horizontal="left"/>
    </xf>
    <xf numFmtId="2" fontId="10" fillId="4" borderId="22" xfId="0" applyNumberFormat="1" applyFont="1" applyFill="1" applyBorder="1"/>
    <xf numFmtId="164" fontId="10" fillId="4" borderId="22" xfId="0" applyNumberFormat="1" applyFont="1" applyFill="1" applyBorder="1"/>
    <xf numFmtId="9" fontId="11" fillId="4" borderId="15" xfId="1" applyFont="1" applyFill="1" applyBorder="1"/>
    <xf numFmtId="165" fontId="11" fillId="4" borderId="15" xfId="1" applyNumberFormat="1" applyFont="1" applyFill="1" applyBorder="1"/>
    <xf numFmtId="164" fontId="10" fillId="4" borderId="22" xfId="1" applyNumberFormat="1" applyFont="1" applyFill="1" applyBorder="1"/>
    <xf numFmtId="0" fontId="10" fillId="4" borderId="24" xfId="0" applyFont="1" applyFill="1" applyBorder="1" applyAlignment="1">
      <alignment horizontal="left"/>
    </xf>
    <xf numFmtId="0" fontId="0" fillId="4" borderId="29" xfId="0" applyFill="1" applyBorder="1"/>
    <xf numFmtId="0" fontId="1" fillId="2" borderId="24" xfId="0" applyFont="1" applyFill="1" applyBorder="1" applyAlignment="1">
      <alignment horizontal="left"/>
    </xf>
    <xf numFmtId="0" fontId="1" fillId="2" borderId="26" xfId="0" applyFont="1" applyFill="1" applyBorder="1" applyAlignment="1">
      <alignment horizontal="left"/>
    </xf>
    <xf numFmtId="164" fontId="1" fillId="2" borderId="22" xfId="0" applyNumberFormat="1" applyFont="1" applyFill="1" applyBorder="1"/>
    <xf numFmtId="0" fontId="3" fillId="2" borderId="42" xfId="0" applyFont="1" applyFill="1" applyBorder="1" applyAlignment="1">
      <alignment horizontal="left"/>
    </xf>
    <xf numFmtId="0" fontId="3" fillId="2" borderId="29" xfId="0" applyFont="1" applyFill="1" applyBorder="1" applyAlignment="1">
      <alignment horizontal="left"/>
    </xf>
    <xf numFmtId="165" fontId="0" fillId="2" borderId="15" xfId="1" applyNumberFormat="1" applyFont="1" applyFill="1" applyBorder="1"/>
    <xf numFmtId="0" fontId="0" fillId="4" borderId="23" xfId="0" applyFill="1" applyBorder="1"/>
    <xf numFmtId="0" fontId="0" fillId="4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164" fontId="1" fillId="3" borderId="23" xfId="0" applyNumberFormat="1" applyFont="1" applyFill="1" applyBorder="1"/>
    <xf numFmtId="2" fontId="0" fillId="4" borderId="23" xfId="0" applyNumberFormat="1" applyFill="1" applyBorder="1"/>
    <xf numFmtId="0" fontId="11" fillId="7" borderId="42" xfId="0" applyFont="1" applyFill="1" applyBorder="1"/>
    <xf numFmtId="0" fontId="11" fillId="7" borderId="29" xfId="0" applyFont="1" applyFill="1" applyBorder="1"/>
    <xf numFmtId="0" fontId="1" fillId="7" borderId="24" xfId="0" applyFont="1" applyFill="1" applyBorder="1"/>
    <xf numFmtId="0" fontId="1" fillId="7" borderId="26" xfId="0" applyFont="1" applyFill="1" applyBorder="1"/>
    <xf numFmtId="164" fontId="1" fillId="7" borderId="26" xfId="0" applyNumberFormat="1" applyFont="1" applyFill="1" applyBorder="1"/>
    <xf numFmtId="164" fontId="1" fillId="7" borderId="27" xfId="0" applyNumberFormat="1" applyFont="1" applyFill="1" applyBorder="1"/>
    <xf numFmtId="164" fontId="1" fillId="7" borderId="22" xfId="0" applyNumberFormat="1" applyFont="1" applyFill="1" applyBorder="1" applyAlignment="1">
      <alignment horizontal="center"/>
    </xf>
    <xf numFmtId="0" fontId="8" fillId="0" borderId="0" xfId="0" applyFont="1"/>
    <xf numFmtId="165" fontId="11" fillId="7" borderId="29" xfId="1" applyNumberFormat="1" applyFont="1" applyFill="1" applyBorder="1"/>
    <xf numFmtId="165" fontId="11" fillId="7" borderId="43" xfId="1" applyNumberFormat="1" applyFont="1" applyFill="1" applyBorder="1"/>
    <xf numFmtId="164" fontId="9" fillId="4" borderId="23" xfId="0" applyNumberFormat="1" applyFont="1" applyFill="1" applyBorder="1"/>
    <xf numFmtId="0" fontId="11" fillId="0" borderId="0" xfId="0" applyFont="1"/>
    <xf numFmtId="2" fontId="11" fillId="0" borderId="0" xfId="0" applyNumberFormat="1" applyFont="1"/>
    <xf numFmtId="164" fontId="1" fillId="2" borderId="28" xfId="0" applyNumberFormat="1" applyFont="1" applyFill="1" applyBorder="1"/>
    <xf numFmtId="164" fontId="11" fillId="2" borderId="28" xfId="0" applyNumberFormat="1" applyFont="1" applyFill="1" applyBorder="1"/>
    <xf numFmtId="164" fontId="10" fillId="2" borderId="28" xfId="0" applyNumberFormat="1" applyFont="1" applyFill="1" applyBorder="1"/>
    <xf numFmtId="164" fontId="1" fillId="4" borderId="24" xfId="0" applyNumberFormat="1" applyFont="1" applyFill="1" applyBorder="1"/>
    <xf numFmtId="164" fontId="1" fillId="4" borderId="26" xfId="0" applyNumberFormat="1" applyFont="1" applyFill="1" applyBorder="1"/>
    <xf numFmtId="164" fontId="1" fillId="4" borderId="27" xfId="0" applyNumberFormat="1" applyFont="1" applyFill="1" applyBorder="1"/>
    <xf numFmtId="164" fontId="11" fillId="2" borderId="0" xfId="0" applyNumberFormat="1" applyFont="1" applyFill="1"/>
    <xf numFmtId="164" fontId="10" fillId="2" borderId="31" xfId="0" applyNumberFormat="1" applyFont="1" applyFill="1" applyBorder="1"/>
    <xf numFmtId="164" fontId="1" fillId="9" borderId="30" xfId="0" applyNumberFormat="1" applyFont="1" applyFill="1" applyBorder="1"/>
    <xf numFmtId="164" fontId="10" fillId="2" borderId="19" xfId="0" applyNumberFormat="1" applyFont="1" applyFill="1" applyBorder="1"/>
    <xf numFmtId="164" fontId="1" fillId="9" borderId="31" xfId="0" applyNumberFormat="1" applyFont="1" applyFill="1" applyBorder="1"/>
    <xf numFmtId="164" fontId="0" fillId="4" borderId="19" xfId="0" applyNumberFormat="1" applyFill="1" applyBorder="1"/>
    <xf numFmtId="6" fontId="18" fillId="5" borderId="7" xfId="0" applyNumberFormat="1" applyFont="1" applyFill="1" applyBorder="1" applyAlignment="1">
      <alignment horizontal="center"/>
    </xf>
    <xf numFmtId="0" fontId="17" fillId="4" borderId="0" xfId="0" applyFont="1" applyFill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1" fillId="6" borderId="38" xfId="0" applyFont="1" applyFill="1" applyBorder="1" applyAlignment="1">
      <alignment horizontal="center"/>
    </xf>
    <xf numFmtId="0" fontId="1" fillId="6" borderId="39" xfId="0" applyFont="1" applyFill="1" applyBorder="1" applyAlignment="1">
      <alignment horizontal="center"/>
    </xf>
    <xf numFmtId="0" fontId="1" fillId="6" borderId="40" xfId="0" applyFont="1" applyFill="1" applyBorder="1" applyAlignment="1">
      <alignment horizontal="center"/>
    </xf>
    <xf numFmtId="0" fontId="5" fillId="8" borderId="32" xfId="0" applyFont="1" applyFill="1" applyBorder="1" applyAlignment="1">
      <alignment horizontal="center"/>
    </xf>
    <xf numFmtId="0" fontId="5" fillId="8" borderId="29" xfId="0" applyFont="1" applyFill="1" applyBorder="1" applyAlignment="1">
      <alignment horizontal="center"/>
    </xf>
    <xf numFmtId="0" fontId="5" fillId="3" borderId="32" xfId="0" applyFont="1" applyFill="1" applyBorder="1" applyAlignment="1">
      <alignment horizontal="center"/>
    </xf>
    <xf numFmtId="0" fontId="5" fillId="3" borderId="29" xfId="0" applyFont="1" applyFill="1" applyBorder="1" applyAlignment="1">
      <alignment horizontal="center"/>
    </xf>
    <xf numFmtId="0" fontId="5" fillId="3" borderId="34" xfId="0" applyFont="1" applyFill="1" applyBorder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B3A5B-655C-43C7-8E56-E67E33A16653}">
  <dimension ref="A1:G24"/>
  <sheetViews>
    <sheetView workbookViewId="0">
      <selection sqref="A1:E1"/>
    </sheetView>
  </sheetViews>
  <sheetFormatPr baseColWidth="10" defaultRowHeight="15" x14ac:dyDescent="0.25"/>
  <cols>
    <col min="1" max="1" width="36.28515625" customWidth="1"/>
    <col min="2" max="2" width="3.7109375" customWidth="1"/>
  </cols>
  <sheetData>
    <row r="1" spans="1:5" ht="26.25" x14ac:dyDescent="0.4">
      <c r="A1" s="225" t="s">
        <v>97</v>
      </c>
      <c r="B1" s="225"/>
      <c r="C1" s="225"/>
      <c r="D1" s="225"/>
      <c r="E1" s="225"/>
    </row>
    <row r="2" spans="1:5" x14ac:dyDescent="0.25">
      <c r="A2" s="167" t="s">
        <v>0</v>
      </c>
      <c r="B2" s="38"/>
      <c r="C2" s="175" t="s">
        <v>51</v>
      </c>
      <c r="D2" s="175" t="s">
        <v>52</v>
      </c>
      <c r="E2" s="175" t="s">
        <v>53</v>
      </c>
    </row>
    <row r="3" spans="1:5" x14ac:dyDescent="0.25">
      <c r="A3" s="170" t="s">
        <v>19</v>
      </c>
      <c r="B3" s="171"/>
      <c r="C3" s="205">
        <f>'Umsatz Absatz Y 1-3'!O27</f>
        <v>878.92560000000003</v>
      </c>
      <c r="D3" s="205">
        <f>'Umsatz Absatz Y 1-3'!AC27</f>
        <v>2952.7203583333339</v>
      </c>
      <c r="E3" s="205">
        <f>'Umsatz Absatz Y 1-3'!AQ27</f>
        <v>4080.3902166666662</v>
      </c>
    </row>
    <row r="4" spans="1:5" x14ac:dyDescent="0.25">
      <c r="A4" s="172" t="s">
        <v>46</v>
      </c>
      <c r="B4" s="173"/>
      <c r="C4" s="176"/>
      <c r="D4" s="177">
        <f>+D3/C3-1</f>
        <v>2.3594656457080485</v>
      </c>
      <c r="E4" s="177">
        <f>+E3/D3-1</f>
        <v>0.38190878968635111</v>
      </c>
    </row>
    <row r="5" spans="1:5" x14ac:dyDescent="0.25">
      <c r="A5" s="178" t="s">
        <v>92</v>
      </c>
      <c r="B5" s="179"/>
      <c r="C5" s="180">
        <f>'Kosten Y 1-3'!C12</f>
        <v>9.6</v>
      </c>
      <c r="D5" s="181">
        <f>'Kosten Y 1-3'!D12</f>
        <v>12</v>
      </c>
      <c r="E5" s="181">
        <f>'Kosten Y 1-3'!E12</f>
        <v>45</v>
      </c>
    </row>
    <row r="6" spans="1:5" x14ac:dyDescent="0.25">
      <c r="A6" s="163" t="s">
        <v>47</v>
      </c>
      <c r="B6" s="164"/>
      <c r="C6" s="183">
        <f>C5/C3</f>
        <v>1.0922426198531478E-2</v>
      </c>
      <c r="D6" s="183">
        <f>D5/D3</f>
        <v>4.0640489256400202E-3</v>
      </c>
      <c r="E6" s="183">
        <f>E5/E3</f>
        <v>1.1028356997866052E-2</v>
      </c>
    </row>
    <row r="7" spans="1:5" x14ac:dyDescent="0.25">
      <c r="A7" s="178" t="s">
        <v>95</v>
      </c>
      <c r="B7" s="179"/>
      <c r="C7" s="181">
        <f>'Kosten Y 1-3'!C4+'Kosten Y 1-3'!C10+'Kosten Y 1-3'!C11</f>
        <v>483.80099999999999</v>
      </c>
      <c r="D7" s="181">
        <f>'Kosten Y 1-3'!D4+'Kosten Y 1-3'!D10+'Kosten Y 1-3'!D11</f>
        <v>684.6</v>
      </c>
      <c r="E7" s="181">
        <f>'Kosten Y 1-3'!E4+'Kosten Y 1-3'!E10+'Kosten Y 1-3'!E11</f>
        <v>968.57999999999993</v>
      </c>
    </row>
    <row r="8" spans="1:5" x14ac:dyDescent="0.25">
      <c r="A8" s="163" t="s">
        <v>48</v>
      </c>
      <c r="B8" s="164"/>
      <c r="C8" s="182">
        <f>C7/C3</f>
        <v>0.55044590804955507</v>
      </c>
      <c r="D8" s="182">
        <f>D7/D3</f>
        <v>0.23185399120776315</v>
      </c>
      <c r="E8" s="182">
        <f>E7/E3</f>
        <v>0.23737435602206886</v>
      </c>
    </row>
    <row r="9" spans="1:5" x14ac:dyDescent="0.25">
      <c r="A9" s="161" t="s">
        <v>93</v>
      </c>
      <c r="B9" s="162"/>
      <c r="C9" s="184">
        <f>'Kosten Y 1-3'!C14</f>
        <v>21</v>
      </c>
      <c r="D9" s="184">
        <f>'Kosten Y 1-3'!D14</f>
        <v>80</v>
      </c>
      <c r="E9" s="184">
        <f>'Kosten Y 1-3'!E14</f>
        <v>227.5</v>
      </c>
    </row>
    <row r="10" spans="1:5" x14ac:dyDescent="0.25">
      <c r="A10" s="163" t="s">
        <v>48</v>
      </c>
      <c r="B10" s="164"/>
      <c r="C10" s="183">
        <f>C9/C3</f>
        <v>2.3892807309287611E-2</v>
      </c>
      <c r="D10" s="183">
        <f>D9/D3</f>
        <v>2.7093659504266798E-2</v>
      </c>
      <c r="E10" s="183">
        <f>E9/E3</f>
        <v>5.5754471489211699E-2</v>
      </c>
    </row>
    <row r="11" spans="1:5" x14ac:dyDescent="0.25">
      <c r="A11" s="161" t="s">
        <v>96</v>
      </c>
      <c r="B11" s="162"/>
      <c r="C11" s="184">
        <f>'Kosten Y 1-3'!C13</f>
        <v>9.6</v>
      </c>
      <c r="D11" s="184">
        <f>'Kosten Y 1-3'!D13</f>
        <v>14.399999999999997</v>
      </c>
      <c r="E11" s="184">
        <f>'Kosten Y 1-3'!E13</f>
        <v>33</v>
      </c>
    </row>
    <row r="12" spans="1:5" x14ac:dyDescent="0.25">
      <c r="A12" s="163" t="s">
        <v>48</v>
      </c>
      <c r="B12" s="164"/>
      <c r="C12" s="183">
        <f>C11/C3</f>
        <v>1.0922426198531478E-2</v>
      </c>
      <c r="D12" s="183">
        <f>D11/D3</f>
        <v>4.876858710768023E-3</v>
      </c>
      <c r="E12" s="183">
        <f>E11/E3</f>
        <v>8.0874617984351034E-3</v>
      </c>
    </row>
    <row r="13" spans="1:5" x14ac:dyDescent="0.25">
      <c r="A13" s="185" t="s">
        <v>94</v>
      </c>
      <c r="B13" s="162"/>
      <c r="C13" s="184">
        <f>'Kosten Y 1-3'!C15</f>
        <v>300</v>
      </c>
      <c r="D13" s="184">
        <f>'Kosten Y 1-3'!D15</f>
        <v>225</v>
      </c>
      <c r="E13" s="184">
        <f>'Kosten Y 1-3'!E15</f>
        <v>330</v>
      </c>
    </row>
    <row r="14" spans="1:5" x14ac:dyDescent="0.25">
      <c r="A14" s="163" t="s">
        <v>48</v>
      </c>
      <c r="B14" s="186"/>
      <c r="C14" s="183">
        <f>C13/C3</f>
        <v>0.34132581870410872</v>
      </c>
      <c r="D14" s="183">
        <f>D13/D3</f>
        <v>7.6200917355750367E-2</v>
      </c>
      <c r="E14" s="183">
        <f>E13/E3</f>
        <v>8.0874617984351041E-2</v>
      </c>
    </row>
    <row r="15" spans="1:5" x14ac:dyDescent="0.25">
      <c r="A15" s="187" t="s">
        <v>49</v>
      </c>
      <c r="B15" s="188"/>
      <c r="C15" s="189">
        <f>C3-C5-C7-C9-C13</f>
        <v>64.524600000000021</v>
      </c>
      <c r="D15" s="189">
        <f>D3-D5-D7-D9-D13</f>
        <v>1951.120358333334</v>
      </c>
      <c r="E15" s="189">
        <f>E3-E5-E7-E9-E13</f>
        <v>2509.3102166666663</v>
      </c>
    </row>
    <row r="16" spans="1:5" x14ac:dyDescent="0.25">
      <c r="A16" s="190" t="s">
        <v>50</v>
      </c>
      <c r="B16" s="191"/>
      <c r="C16" s="192">
        <f>C15/C3</f>
        <v>7.3413039738517136E-2</v>
      </c>
      <c r="D16" s="192">
        <f>D15/D3</f>
        <v>0.66078738300657969</v>
      </c>
      <c r="E16" s="192">
        <f>E15/E3</f>
        <v>0.61496819750650233</v>
      </c>
    </row>
    <row r="17" spans="1:7" x14ac:dyDescent="0.25">
      <c r="A17" s="195" t="s">
        <v>54</v>
      </c>
      <c r="B17" s="196"/>
      <c r="C17" s="197">
        <f>'Kosten Y 1-3'!C32</f>
        <v>259.02000000000004</v>
      </c>
      <c r="D17" s="197">
        <f>'Kosten Y 1-3'!D32</f>
        <v>499.13999999999987</v>
      </c>
      <c r="E17" s="197">
        <f>'Kosten Y 1-3'!E32</f>
        <v>735.95999999999992</v>
      </c>
    </row>
    <row r="18" spans="1:7" x14ac:dyDescent="0.25">
      <c r="A18" s="194" t="s">
        <v>67</v>
      </c>
      <c r="B18" s="174"/>
      <c r="C18" s="209">
        <f>'Kosten Y 1-3'!C34</f>
        <v>6</v>
      </c>
      <c r="D18" s="209">
        <f>'Kosten Y 1-3'!D34</f>
        <v>42</v>
      </c>
      <c r="E18" s="209">
        <f>'Kosten Y 1-3'!E34</f>
        <v>42</v>
      </c>
    </row>
    <row r="19" spans="1:7" x14ac:dyDescent="0.25">
      <c r="A19" s="41" t="s">
        <v>102</v>
      </c>
      <c r="B19" s="38"/>
      <c r="C19" s="193"/>
      <c r="D19" s="193"/>
      <c r="E19" s="193"/>
      <c r="G19" s="206" t="s">
        <v>101</v>
      </c>
    </row>
    <row r="20" spans="1:7" x14ac:dyDescent="0.25">
      <c r="A20" s="38" t="s">
        <v>98</v>
      </c>
      <c r="B20" s="38"/>
      <c r="C20" s="198"/>
      <c r="D20" s="198">
        <f>(D15-D17+D18+C21)*0.28</f>
        <v>363.85578833333358</v>
      </c>
      <c r="E20" s="198">
        <f>(E15-E17+E18)*0.28</f>
        <v>508.29806066666657</v>
      </c>
    </row>
    <row r="21" spans="1:7" x14ac:dyDescent="0.25">
      <c r="A21" s="201" t="s">
        <v>99</v>
      </c>
      <c r="B21" s="202"/>
      <c r="C21" s="203">
        <f>C15-C17</f>
        <v>-194.49540000000002</v>
      </c>
      <c r="D21" s="203">
        <f>D15-D17</f>
        <v>1451.9803583333342</v>
      </c>
      <c r="E21" s="204">
        <f>E15-E17</f>
        <v>1773.3502166666663</v>
      </c>
    </row>
    <row r="22" spans="1:7" x14ac:dyDescent="0.25">
      <c r="A22" s="199" t="s">
        <v>100</v>
      </c>
      <c r="B22" s="200"/>
      <c r="C22" s="207">
        <f>C21/C3</f>
        <v>-0.22128767213061037</v>
      </c>
      <c r="D22" s="207">
        <f>D21/D3</f>
        <v>0.49174326794458312</v>
      </c>
      <c r="E22" s="208">
        <f>E21/E3</f>
        <v>0.43460309492540239</v>
      </c>
    </row>
    <row r="24" spans="1:7" x14ac:dyDescent="0.25">
      <c r="A24" s="210" t="s">
        <v>103</v>
      </c>
      <c r="B24" s="210"/>
      <c r="C24" s="211">
        <f>'Kosten Y 1-3'!C36</f>
        <v>1089.0209999999997</v>
      </c>
      <c r="D24" s="211">
        <f>'Kosten Y 1-3'!D36</f>
        <v>1557.14</v>
      </c>
      <c r="E24" s="211">
        <f>'Kosten Y 1-3'!E36</f>
        <v>2382.04</v>
      </c>
    </row>
  </sheetData>
  <mergeCells count="1">
    <mergeCell ref="A1:E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3"/>
  <sheetViews>
    <sheetView workbookViewId="0">
      <selection sqref="A1:O1"/>
    </sheetView>
  </sheetViews>
  <sheetFormatPr baseColWidth="10" defaultColWidth="9.140625" defaultRowHeight="15" x14ac:dyDescent="0.25"/>
  <cols>
    <col min="1" max="1" width="25.7109375" bestFit="1" customWidth="1"/>
    <col min="2" max="2" width="16.5703125" customWidth="1"/>
    <col min="3" max="3" width="9.5703125" customWidth="1"/>
    <col min="4" max="5" width="10.42578125" customWidth="1"/>
    <col min="6" max="10" width="9.140625" customWidth="1"/>
    <col min="11" max="11" width="8.28515625" customWidth="1"/>
    <col min="12" max="14" width="9.28515625" customWidth="1"/>
    <col min="15" max="15" width="9.140625" customWidth="1"/>
    <col min="16" max="16" width="10.28515625" customWidth="1"/>
    <col min="17" max="17" width="12.5703125" customWidth="1"/>
    <col min="18" max="18" width="12.28515625" customWidth="1"/>
    <col min="19" max="28" width="9.140625" customWidth="1"/>
    <col min="29" max="29" width="7.140625" customWidth="1"/>
    <col min="30" max="30" width="10.28515625" bestFit="1" customWidth="1"/>
  </cols>
  <sheetData>
    <row r="1" spans="1:43" ht="21.75" thickBot="1" x14ac:dyDescent="0.4">
      <c r="A1" s="226" t="s">
        <v>74</v>
      </c>
      <c r="B1" s="227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7"/>
      <c r="N1" s="228"/>
      <c r="O1" s="229"/>
      <c r="P1" s="230" t="s">
        <v>72</v>
      </c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1"/>
      <c r="AD1" s="227" t="s">
        <v>73</v>
      </c>
      <c r="AE1" s="228"/>
      <c r="AF1" s="228"/>
      <c r="AG1" s="228"/>
      <c r="AH1" s="228"/>
      <c r="AI1" s="228"/>
      <c r="AJ1" s="228"/>
      <c r="AK1" s="228"/>
      <c r="AL1" s="228"/>
      <c r="AM1" s="228"/>
      <c r="AN1" s="228"/>
      <c r="AO1" s="228"/>
      <c r="AP1" s="228"/>
      <c r="AQ1" s="229"/>
    </row>
    <row r="2" spans="1:43" ht="15.75" thickBot="1" x14ac:dyDescent="0.3">
      <c r="A2" s="118"/>
      <c r="B2" s="119"/>
      <c r="C2" s="12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8</v>
      </c>
      <c r="K2" s="12" t="s">
        <v>9</v>
      </c>
      <c r="L2" s="12" t="s">
        <v>10</v>
      </c>
      <c r="M2" s="148" t="s">
        <v>11</v>
      </c>
      <c r="N2" s="12" t="s">
        <v>12</v>
      </c>
      <c r="O2" s="127" t="s">
        <v>13</v>
      </c>
      <c r="P2" s="3"/>
      <c r="Q2" s="11" t="s">
        <v>1</v>
      </c>
      <c r="R2" s="12" t="s">
        <v>2</v>
      </c>
      <c r="S2" s="12" t="s">
        <v>3</v>
      </c>
      <c r="T2" s="12" t="s">
        <v>4</v>
      </c>
      <c r="U2" s="12" t="s">
        <v>5</v>
      </c>
      <c r="V2" s="12" t="s">
        <v>6</v>
      </c>
      <c r="W2" s="12" t="s">
        <v>7</v>
      </c>
      <c r="X2" s="12" t="s">
        <v>8</v>
      </c>
      <c r="Y2" s="12" t="s">
        <v>9</v>
      </c>
      <c r="Z2" s="12" t="s">
        <v>10</v>
      </c>
      <c r="AA2" s="12" t="s">
        <v>11</v>
      </c>
      <c r="AB2" s="12" t="s">
        <v>12</v>
      </c>
      <c r="AC2" s="149" t="s">
        <v>43</v>
      </c>
      <c r="AD2" s="119"/>
      <c r="AE2" s="12" t="s">
        <v>1</v>
      </c>
      <c r="AF2" s="12" t="s">
        <v>2</v>
      </c>
      <c r="AG2" s="12" t="s">
        <v>3</v>
      </c>
      <c r="AH2" s="12" t="s">
        <v>4</v>
      </c>
      <c r="AI2" s="12" t="s">
        <v>5</v>
      </c>
      <c r="AJ2" s="12" t="s">
        <v>6</v>
      </c>
      <c r="AK2" s="12" t="s">
        <v>7</v>
      </c>
      <c r="AL2" s="12" t="s">
        <v>8</v>
      </c>
      <c r="AM2" s="12" t="s">
        <v>9</v>
      </c>
      <c r="AN2" s="12" t="s">
        <v>10</v>
      </c>
      <c r="AO2" s="12" t="s">
        <v>11</v>
      </c>
      <c r="AP2" s="12" t="s">
        <v>12</v>
      </c>
      <c r="AQ2" s="40" t="s">
        <v>44</v>
      </c>
    </row>
    <row r="3" spans="1:43" ht="15.75" thickBot="1" x14ac:dyDescent="0.3">
      <c r="A3" s="57" t="s">
        <v>14</v>
      </c>
      <c r="B3" s="2"/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5"/>
      <c r="O3" s="2"/>
      <c r="P3" s="1"/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48"/>
      <c r="AD3" s="2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6"/>
      <c r="AQ3" s="2"/>
    </row>
    <row r="4" spans="1:43" x14ac:dyDescent="0.25">
      <c r="A4" s="7" t="s">
        <v>15</v>
      </c>
      <c r="B4" s="34"/>
      <c r="C4" s="7">
        <f>SUM(C5:C6)</f>
        <v>4012</v>
      </c>
      <c r="D4" s="7">
        <f t="shared" ref="D4:F4" si="0">SUM(D5:D6)</f>
        <v>4024</v>
      </c>
      <c r="E4" s="7">
        <f t="shared" si="0"/>
        <v>4036</v>
      </c>
      <c r="F4" s="7">
        <f t="shared" si="0"/>
        <v>4048</v>
      </c>
      <c r="G4" s="7">
        <f t="shared" ref="G4" si="1">SUM(G5:G6)</f>
        <v>4060</v>
      </c>
      <c r="H4" s="7">
        <f t="shared" ref="H4" si="2">SUM(H5:H6)</f>
        <v>4072</v>
      </c>
      <c r="I4" s="7">
        <f t="shared" ref="I4" si="3">SUM(I5:I6)</f>
        <v>4084</v>
      </c>
      <c r="J4" s="7">
        <f t="shared" ref="J4" si="4">SUM(J5:J6)</f>
        <v>4096</v>
      </c>
      <c r="K4" s="7">
        <f t="shared" ref="K4" si="5">SUM(K5:K6)</f>
        <v>4108</v>
      </c>
      <c r="L4" s="7">
        <f t="shared" ref="L4" si="6">SUM(L5:L6)</f>
        <v>4120</v>
      </c>
      <c r="M4" s="7">
        <f t="shared" ref="M4" si="7">SUM(M5:M6)</f>
        <v>4132</v>
      </c>
      <c r="N4" s="7">
        <f t="shared" ref="N4" si="8">SUM(N5:N6)</f>
        <v>4144</v>
      </c>
      <c r="O4" s="23">
        <f>N4</f>
        <v>4144</v>
      </c>
      <c r="P4" s="123"/>
      <c r="Q4" s="7">
        <f>SUM(Q5:Q6)</f>
        <v>3169</v>
      </c>
      <c r="R4" s="7">
        <f t="shared" ref="R4:AB4" si="9">Q4+R6-Q6</f>
        <v>3194</v>
      </c>
      <c r="S4" s="7">
        <f t="shared" si="9"/>
        <v>3219</v>
      </c>
      <c r="T4" s="7">
        <f t="shared" si="9"/>
        <v>3244</v>
      </c>
      <c r="U4" s="7">
        <f t="shared" si="9"/>
        <v>3269</v>
      </c>
      <c r="V4" s="7">
        <f t="shared" si="9"/>
        <v>3294</v>
      </c>
      <c r="W4" s="7">
        <f t="shared" si="9"/>
        <v>3319</v>
      </c>
      <c r="X4" s="7">
        <f t="shared" si="9"/>
        <v>3344</v>
      </c>
      <c r="Y4" s="7">
        <f t="shared" si="9"/>
        <v>3369</v>
      </c>
      <c r="Z4" s="7">
        <f t="shared" si="9"/>
        <v>3394</v>
      </c>
      <c r="AA4" s="7">
        <f t="shared" si="9"/>
        <v>3419</v>
      </c>
      <c r="AB4" s="7">
        <f t="shared" si="9"/>
        <v>3444</v>
      </c>
      <c r="AC4" s="150">
        <f>AB4</f>
        <v>3444</v>
      </c>
      <c r="AD4" s="34"/>
      <c r="AE4" s="7">
        <f>AB4+AE6-AB6</f>
        <v>3544</v>
      </c>
      <c r="AF4" s="7">
        <f t="shared" ref="AF4:AP4" si="10">AE4+AF6-AE6</f>
        <v>3644</v>
      </c>
      <c r="AG4" s="7">
        <f t="shared" si="10"/>
        <v>3744</v>
      </c>
      <c r="AH4" s="7">
        <f t="shared" si="10"/>
        <v>3844</v>
      </c>
      <c r="AI4" s="7">
        <f t="shared" si="10"/>
        <v>3944</v>
      </c>
      <c r="AJ4" s="7">
        <f t="shared" si="10"/>
        <v>4044</v>
      </c>
      <c r="AK4" s="7">
        <f t="shared" si="10"/>
        <v>4144</v>
      </c>
      <c r="AL4" s="7">
        <f t="shared" si="10"/>
        <v>4244</v>
      </c>
      <c r="AM4" s="7">
        <f t="shared" si="10"/>
        <v>4344</v>
      </c>
      <c r="AN4" s="7">
        <f t="shared" si="10"/>
        <v>4444</v>
      </c>
      <c r="AO4" s="7">
        <f t="shared" si="10"/>
        <v>4544</v>
      </c>
      <c r="AP4" s="7">
        <f t="shared" si="10"/>
        <v>4644</v>
      </c>
      <c r="AQ4" s="23">
        <f>AP4</f>
        <v>4644</v>
      </c>
    </row>
    <row r="5" spans="1:43" x14ac:dyDescent="0.25">
      <c r="A5" s="8" t="s">
        <v>16</v>
      </c>
      <c r="B5" s="120"/>
      <c r="C5" s="19">
        <v>4000</v>
      </c>
      <c r="D5" s="19">
        <v>4000</v>
      </c>
      <c r="E5" s="19">
        <v>4000</v>
      </c>
      <c r="F5" s="19">
        <v>4000</v>
      </c>
      <c r="G5" s="19">
        <v>4000</v>
      </c>
      <c r="H5" s="19">
        <v>4000</v>
      </c>
      <c r="I5" s="19">
        <v>4000</v>
      </c>
      <c r="J5" s="19">
        <v>4000</v>
      </c>
      <c r="K5" s="19">
        <v>4000</v>
      </c>
      <c r="L5" s="19">
        <v>4000</v>
      </c>
      <c r="M5" s="19">
        <v>4000</v>
      </c>
      <c r="N5" s="19">
        <v>4000</v>
      </c>
      <c r="O5" s="24">
        <f t="shared" ref="O5:O10" si="11">N5</f>
        <v>4000</v>
      </c>
      <c r="P5" s="120"/>
      <c r="Q5" s="19">
        <f t="shared" ref="Q5:AB5" si="12">$B$31-($B$31*$B$32)</f>
        <v>3000</v>
      </c>
      <c r="R5" s="19">
        <f t="shared" si="12"/>
        <v>3000</v>
      </c>
      <c r="S5" s="19">
        <f t="shared" si="12"/>
        <v>3000</v>
      </c>
      <c r="T5" s="19">
        <f t="shared" si="12"/>
        <v>3000</v>
      </c>
      <c r="U5" s="19">
        <f t="shared" si="12"/>
        <v>3000</v>
      </c>
      <c r="V5" s="19">
        <f t="shared" si="12"/>
        <v>3000</v>
      </c>
      <c r="W5" s="19">
        <f t="shared" si="12"/>
        <v>3000</v>
      </c>
      <c r="X5" s="19">
        <f t="shared" si="12"/>
        <v>3000</v>
      </c>
      <c r="Y5" s="19">
        <f t="shared" si="12"/>
        <v>3000</v>
      </c>
      <c r="Z5" s="19">
        <f t="shared" si="12"/>
        <v>3000</v>
      </c>
      <c r="AA5" s="19">
        <f t="shared" si="12"/>
        <v>3000</v>
      </c>
      <c r="AB5" s="19">
        <f t="shared" si="12"/>
        <v>3000</v>
      </c>
      <c r="AC5" s="30">
        <f t="shared" ref="AC5:AC10" si="13">AB5</f>
        <v>3000</v>
      </c>
      <c r="AD5" s="120"/>
      <c r="AE5" s="19">
        <f>$B$31-($B$31*$B$32)+50</f>
        <v>3050</v>
      </c>
      <c r="AF5" s="19">
        <f>AE5+50</f>
        <v>3100</v>
      </c>
      <c r="AG5" s="19">
        <f t="shared" ref="AG5:AP5" si="14">AF5+50</f>
        <v>3150</v>
      </c>
      <c r="AH5" s="19">
        <f t="shared" si="14"/>
        <v>3200</v>
      </c>
      <c r="AI5" s="19">
        <f t="shared" si="14"/>
        <v>3250</v>
      </c>
      <c r="AJ5" s="19">
        <f t="shared" si="14"/>
        <v>3300</v>
      </c>
      <c r="AK5" s="19">
        <f t="shared" si="14"/>
        <v>3350</v>
      </c>
      <c r="AL5" s="19">
        <f t="shared" si="14"/>
        <v>3400</v>
      </c>
      <c r="AM5" s="19">
        <f t="shared" si="14"/>
        <v>3450</v>
      </c>
      <c r="AN5" s="19">
        <f t="shared" si="14"/>
        <v>3500</v>
      </c>
      <c r="AO5" s="19">
        <f t="shared" si="14"/>
        <v>3550</v>
      </c>
      <c r="AP5" s="19">
        <f t="shared" si="14"/>
        <v>3600</v>
      </c>
      <c r="AQ5" s="24">
        <f t="shared" ref="AQ5:AQ11" si="15">AP5</f>
        <v>3600</v>
      </c>
    </row>
    <row r="6" spans="1:43" x14ac:dyDescent="0.25">
      <c r="A6" s="8" t="s">
        <v>17</v>
      </c>
      <c r="B6" s="120"/>
      <c r="C6" s="15">
        <v>12</v>
      </c>
      <c r="D6" s="15">
        <v>24</v>
      </c>
      <c r="E6" s="15">
        <v>36</v>
      </c>
      <c r="F6" s="15">
        <v>48</v>
      </c>
      <c r="G6" s="15">
        <v>60</v>
      </c>
      <c r="H6" s="15">
        <v>72</v>
      </c>
      <c r="I6" s="15">
        <v>84</v>
      </c>
      <c r="J6" s="15">
        <v>96</v>
      </c>
      <c r="K6" s="15">
        <v>108</v>
      </c>
      <c r="L6" s="15">
        <v>120</v>
      </c>
      <c r="M6" s="15">
        <v>132</v>
      </c>
      <c r="N6" s="15">
        <v>144</v>
      </c>
      <c r="O6" s="24">
        <f t="shared" si="11"/>
        <v>144</v>
      </c>
      <c r="P6" s="120"/>
      <c r="Q6" s="15">
        <f>N6+25</f>
        <v>169</v>
      </c>
      <c r="R6" s="15">
        <f>Q6+25</f>
        <v>194</v>
      </c>
      <c r="S6" s="15">
        <f t="shared" ref="S6:AB6" si="16">R6+25</f>
        <v>219</v>
      </c>
      <c r="T6" s="15">
        <f t="shared" si="16"/>
        <v>244</v>
      </c>
      <c r="U6" s="15">
        <f t="shared" si="16"/>
        <v>269</v>
      </c>
      <c r="V6" s="15">
        <f t="shared" si="16"/>
        <v>294</v>
      </c>
      <c r="W6" s="15">
        <f t="shared" si="16"/>
        <v>319</v>
      </c>
      <c r="X6" s="15">
        <f t="shared" si="16"/>
        <v>344</v>
      </c>
      <c r="Y6" s="15">
        <f t="shared" si="16"/>
        <v>369</v>
      </c>
      <c r="Z6" s="15">
        <f t="shared" si="16"/>
        <v>394</v>
      </c>
      <c r="AA6" s="15">
        <f t="shared" si="16"/>
        <v>419</v>
      </c>
      <c r="AB6" s="15">
        <f t="shared" si="16"/>
        <v>444</v>
      </c>
      <c r="AC6" s="30">
        <f t="shared" si="13"/>
        <v>444</v>
      </c>
      <c r="AD6" s="120"/>
      <c r="AE6" s="15">
        <f>AB6+100</f>
        <v>544</v>
      </c>
      <c r="AF6" s="15">
        <f>AE6+100</f>
        <v>644</v>
      </c>
      <c r="AG6" s="15">
        <f t="shared" ref="AG6:AP6" si="17">AF6+100</f>
        <v>744</v>
      </c>
      <c r="AH6" s="15">
        <f t="shared" si="17"/>
        <v>844</v>
      </c>
      <c r="AI6" s="15">
        <f t="shared" si="17"/>
        <v>944</v>
      </c>
      <c r="AJ6" s="15">
        <f t="shared" si="17"/>
        <v>1044</v>
      </c>
      <c r="AK6" s="15">
        <f t="shared" si="17"/>
        <v>1144</v>
      </c>
      <c r="AL6" s="15">
        <f t="shared" si="17"/>
        <v>1244</v>
      </c>
      <c r="AM6" s="15">
        <f t="shared" si="17"/>
        <v>1344</v>
      </c>
      <c r="AN6" s="15">
        <f t="shared" si="17"/>
        <v>1444</v>
      </c>
      <c r="AO6" s="15">
        <f t="shared" si="17"/>
        <v>1544</v>
      </c>
      <c r="AP6" s="15">
        <f t="shared" si="17"/>
        <v>1644</v>
      </c>
      <c r="AQ6" s="25">
        <f t="shared" si="15"/>
        <v>1644</v>
      </c>
    </row>
    <row r="7" spans="1:43" x14ac:dyDescent="0.25">
      <c r="A7" s="7" t="s">
        <v>18</v>
      </c>
      <c r="B7" s="34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26">
        <f t="shared" si="11"/>
        <v>0</v>
      </c>
      <c r="P7" s="34"/>
      <c r="Q7" s="42">
        <f>SUM(Q8:Q10)</f>
        <v>59.418749999999996</v>
      </c>
      <c r="R7" s="42">
        <f t="shared" ref="R7:AB7" si="18">SUM(R8:R10)</f>
        <v>119.30624999999999</v>
      </c>
      <c r="S7" s="42">
        <f t="shared" si="18"/>
        <v>179.66249999999999</v>
      </c>
      <c r="T7" s="42">
        <f t="shared" si="18"/>
        <v>240.48749999999998</v>
      </c>
      <c r="U7" s="42">
        <f t="shared" si="18"/>
        <v>301.78125</v>
      </c>
      <c r="V7" s="42">
        <f t="shared" si="18"/>
        <v>363.54374999999999</v>
      </c>
      <c r="W7" s="42">
        <f t="shared" si="18"/>
        <v>425.77500000000003</v>
      </c>
      <c r="X7" s="42">
        <f t="shared" si="18"/>
        <v>488.47500000000002</v>
      </c>
      <c r="Y7" s="42">
        <f t="shared" si="18"/>
        <v>551.64375000000007</v>
      </c>
      <c r="Z7" s="42">
        <f t="shared" si="18"/>
        <v>615.28125000000011</v>
      </c>
      <c r="AA7" s="42">
        <f t="shared" si="18"/>
        <v>679.38750000000005</v>
      </c>
      <c r="AB7" s="42">
        <f t="shared" si="18"/>
        <v>743.96250000000009</v>
      </c>
      <c r="AC7" s="31">
        <f t="shared" si="13"/>
        <v>743.96250000000009</v>
      </c>
      <c r="AD7" s="34"/>
      <c r="AE7" s="42">
        <f>SUM(AE8:AE10)</f>
        <v>862.09583333333342</v>
      </c>
      <c r="AF7" s="42">
        <f t="shared" ref="AF7:AP7" si="19">SUM(AF8:AF10)</f>
        <v>983.5625</v>
      </c>
      <c r="AG7" s="42">
        <f t="shared" si="19"/>
        <v>1108.3625000000002</v>
      </c>
      <c r="AH7" s="42">
        <f t="shared" si="19"/>
        <v>1236.4958333333336</v>
      </c>
      <c r="AI7" s="42">
        <f t="shared" si="19"/>
        <v>1367.9625000000001</v>
      </c>
      <c r="AJ7" s="42">
        <f t="shared" si="19"/>
        <v>1502.7625</v>
      </c>
      <c r="AK7" s="42">
        <f t="shared" si="19"/>
        <v>1640.8958333333335</v>
      </c>
      <c r="AL7" s="42">
        <f t="shared" si="19"/>
        <v>1782.3625000000002</v>
      </c>
      <c r="AM7" s="42">
        <f t="shared" si="19"/>
        <v>1927.1625000000001</v>
      </c>
      <c r="AN7" s="42">
        <f t="shared" si="19"/>
        <v>2075.2958333333336</v>
      </c>
      <c r="AO7" s="42">
        <f t="shared" si="19"/>
        <v>2226.7625000000003</v>
      </c>
      <c r="AP7" s="42">
        <f t="shared" si="19"/>
        <v>2381.5625000000005</v>
      </c>
      <c r="AQ7" s="151">
        <f t="shared" si="15"/>
        <v>2381.5625000000005</v>
      </c>
    </row>
    <row r="8" spans="1:43" x14ac:dyDescent="0.25">
      <c r="A8" s="8" t="s">
        <v>81</v>
      </c>
      <c r="B8" s="120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24">
        <f t="shared" si="11"/>
        <v>0</v>
      </c>
      <c r="P8" s="120"/>
      <c r="Q8" s="19">
        <f>Q$4*$D40</f>
        <v>39.612499999999997</v>
      </c>
      <c r="R8" s="19">
        <f>R$4*$D40+Q8</f>
        <v>79.537499999999994</v>
      </c>
      <c r="S8" s="19">
        <f t="shared" ref="S8:AB8" si="20">S$4*$D40+R8</f>
        <v>119.77499999999999</v>
      </c>
      <c r="T8" s="19">
        <f t="shared" si="20"/>
        <v>160.32499999999999</v>
      </c>
      <c r="U8" s="19">
        <f t="shared" si="20"/>
        <v>201.1875</v>
      </c>
      <c r="V8" s="19">
        <f t="shared" si="20"/>
        <v>242.36250000000001</v>
      </c>
      <c r="W8" s="19">
        <f t="shared" si="20"/>
        <v>283.85000000000002</v>
      </c>
      <c r="X8" s="19">
        <f t="shared" si="20"/>
        <v>325.65000000000003</v>
      </c>
      <c r="Y8" s="19">
        <f t="shared" si="20"/>
        <v>367.76250000000005</v>
      </c>
      <c r="Z8" s="19">
        <f t="shared" si="20"/>
        <v>410.18750000000006</v>
      </c>
      <c r="AA8" s="19">
        <f t="shared" si="20"/>
        <v>452.92500000000007</v>
      </c>
      <c r="AB8" s="19">
        <f t="shared" si="20"/>
        <v>495.97500000000008</v>
      </c>
      <c r="AC8" s="30">
        <f t="shared" si="13"/>
        <v>495.97500000000008</v>
      </c>
      <c r="AD8" s="120"/>
      <c r="AE8" s="19">
        <f>AE$4*$E40+AB8</f>
        <v>569.80833333333339</v>
      </c>
      <c r="AF8" s="19">
        <f>AF$4*$E40+AE8</f>
        <v>645.72500000000002</v>
      </c>
      <c r="AG8" s="19">
        <f t="shared" ref="AG8:AP8" si="21">AG$4*$E40+AF8</f>
        <v>723.72500000000002</v>
      </c>
      <c r="AH8" s="19">
        <f t="shared" si="21"/>
        <v>803.80833333333339</v>
      </c>
      <c r="AI8" s="19">
        <f t="shared" si="21"/>
        <v>885.97500000000002</v>
      </c>
      <c r="AJ8" s="19">
        <f t="shared" si="21"/>
        <v>970.22500000000002</v>
      </c>
      <c r="AK8" s="19">
        <f t="shared" si="21"/>
        <v>1056.5583333333334</v>
      </c>
      <c r="AL8" s="19">
        <f t="shared" si="21"/>
        <v>1144.9750000000001</v>
      </c>
      <c r="AM8" s="19">
        <f t="shared" si="21"/>
        <v>1235.4750000000001</v>
      </c>
      <c r="AN8" s="19">
        <f t="shared" si="21"/>
        <v>1328.0583333333334</v>
      </c>
      <c r="AO8" s="19">
        <f t="shared" si="21"/>
        <v>1422.7250000000001</v>
      </c>
      <c r="AP8" s="19">
        <f t="shared" si="21"/>
        <v>1519.4750000000001</v>
      </c>
      <c r="AQ8" s="152">
        <f t="shared" si="15"/>
        <v>1519.4750000000001</v>
      </c>
    </row>
    <row r="9" spans="1:43" x14ac:dyDescent="0.25">
      <c r="A9" s="8" t="s">
        <v>82</v>
      </c>
      <c r="B9" s="120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24">
        <f t="shared" si="11"/>
        <v>0</v>
      </c>
      <c r="P9" s="120"/>
      <c r="Q9" s="19">
        <f>Q$4*$D41</f>
        <v>13.204166666666666</v>
      </c>
      <c r="R9" s="19">
        <f>R$4*$D41+Q9</f>
        <v>26.512499999999999</v>
      </c>
      <c r="S9" s="19">
        <f t="shared" ref="S9:AB9" si="22">S$4*$D41+R9</f>
        <v>39.924999999999997</v>
      </c>
      <c r="T9" s="19">
        <f t="shared" si="22"/>
        <v>53.441666666666663</v>
      </c>
      <c r="U9" s="19">
        <f t="shared" si="22"/>
        <v>67.0625</v>
      </c>
      <c r="V9" s="19">
        <f t="shared" si="22"/>
        <v>80.787499999999994</v>
      </c>
      <c r="W9" s="19">
        <f t="shared" si="22"/>
        <v>94.61666666666666</v>
      </c>
      <c r="X9" s="19">
        <f t="shared" si="22"/>
        <v>108.55</v>
      </c>
      <c r="Y9" s="19">
        <f t="shared" si="22"/>
        <v>122.58749999999999</v>
      </c>
      <c r="Z9" s="19">
        <f t="shared" si="22"/>
        <v>136.72916666666666</v>
      </c>
      <c r="AA9" s="19">
        <f t="shared" si="22"/>
        <v>150.97499999999999</v>
      </c>
      <c r="AB9" s="19">
        <f t="shared" si="22"/>
        <v>165.32499999999999</v>
      </c>
      <c r="AC9" s="30">
        <f t="shared" si="13"/>
        <v>165.32499999999999</v>
      </c>
      <c r="AD9" s="120"/>
      <c r="AE9" s="19">
        <f>AE$4*$E41+AB9</f>
        <v>194.85833333333332</v>
      </c>
      <c r="AF9" s="19">
        <f>AF$4*$E41+AE9</f>
        <v>225.22499999999999</v>
      </c>
      <c r="AG9" s="19">
        <f t="shared" ref="AG9:AP9" si="23">AG$4*$E41+AF9</f>
        <v>256.42500000000001</v>
      </c>
      <c r="AH9" s="19">
        <f t="shared" si="23"/>
        <v>288.45833333333337</v>
      </c>
      <c r="AI9" s="19">
        <f t="shared" si="23"/>
        <v>321.32500000000005</v>
      </c>
      <c r="AJ9" s="19">
        <f t="shared" si="23"/>
        <v>355.02500000000003</v>
      </c>
      <c r="AK9" s="19">
        <f t="shared" si="23"/>
        <v>389.55833333333339</v>
      </c>
      <c r="AL9" s="19">
        <f t="shared" si="23"/>
        <v>424.92500000000007</v>
      </c>
      <c r="AM9" s="19">
        <f t="shared" si="23"/>
        <v>461.12500000000006</v>
      </c>
      <c r="AN9" s="19">
        <f t="shared" si="23"/>
        <v>498.15833333333342</v>
      </c>
      <c r="AO9" s="19">
        <f t="shared" si="23"/>
        <v>536.02500000000009</v>
      </c>
      <c r="AP9" s="19">
        <f t="shared" si="23"/>
        <v>574.72500000000014</v>
      </c>
      <c r="AQ9" s="152">
        <f t="shared" si="15"/>
        <v>574.72500000000014</v>
      </c>
    </row>
    <row r="10" spans="1:43" x14ac:dyDescent="0.25">
      <c r="A10" s="8" t="s">
        <v>83</v>
      </c>
      <c r="B10" s="120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24">
        <f t="shared" si="11"/>
        <v>0</v>
      </c>
      <c r="P10" s="120"/>
      <c r="Q10" s="19">
        <f>Q$4*$D42</f>
        <v>6.6020833333333329</v>
      </c>
      <c r="R10" s="19">
        <f>R$4*$D42+Q10</f>
        <v>13.25625</v>
      </c>
      <c r="S10" s="19">
        <f t="shared" ref="S10:AB10" si="24">S$4*$D42+R10</f>
        <v>19.962499999999999</v>
      </c>
      <c r="T10" s="19">
        <f t="shared" si="24"/>
        <v>26.720833333333331</v>
      </c>
      <c r="U10" s="19">
        <f t="shared" si="24"/>
        <v>33.53125</v>
      </c>
      <c r="V10" s="19">
        <f t="shared" si="24"/>
        <v>40.393749999999997</v>
      </c>
      <c r="W10" s="19">
        <f t="shared" si="24"/>
        <v>47.30833333333333</v>
      </c>
      <c r="X10" s="19">
        <f t="shared" si="24"/>
        <v>54.274999999999999</v>
      </c>
      <c r="Y10" s="19">
        <f t="shared" si="24"/>
        <v>61.293749999999996</v>
      </c>
      <c r="Z10" s="19">
        <f t="shared" si="24"/>
        <v>68.364583333333329</v>
      </c>
      <c r="AA10" s="19">
        <f t="shared" si="24"/>
        <v>75.487499999999997</v>
      </c>
      <c r="AB10" s="19">
        <f t="shared" si="24"/>
        <v>82.662499999999994</v>
      </c>
      <c r="AC10" s="30">
        <f t="shared" si="13"/>
        <v>82.662499999999994</v>
      </c>
      <c r="AD10" s="120"/>
      <c r="AE10" s="19">
        <f>AE$4*$E42+AB10</f>
        <v>97.42916666666666</v>
      </c>
      <c r="AF10" s="19">
        <f>AF$4*$E42+AE10</f>
        <v>112.6125</v>
      </c>
      <c r="AG10" s="19">
        <f t="shared" ref="AG10:AP10" si="25">AG$4*$E42+AF10</f>
        <v>128.21250000000001</v>
      </c>
      <c r="AH10" s="19">
        <f t="shared" si="25"/>
        <v>144.22916666666669</v>
      </c>
      <c r="AI10" s="19">
        <f t="shared" si="25"/>
        <v>160.66250000000002</v>
      </c>
      <c r="AJ10" s="19">
        <f t="shared" si="25"/>
        <v>177.51250000000002</v>
      </c>
      <c r="AK10" s="19">
        <f t="shared" si="25"/>
        <v>194.7791666666667</v>
      </c>
      <c r="AL10" s="19">
        <f t="shared" si="25"/>
        <v>212.46250000000003</v>
      </c>
      <c r="AM10" s="19">
        <f t="shared" si="25"/>
        <v>230.56250000000003</v>
      </c>
      <c r="AN10" s="19">
        <f t="shared" si="25"/>
        <v>249.07916666666671</v>
      </c>
      <c r="AO10" s="19">
        <f t="shared" si="25"/>
        <v>268.01250000000005</v>
      </c>
      <c r="AP10" s="19">
        <f t="shared" si="25"/>
        <v>287.36250000000007</v>
      </c>
      <c r="AQ10" s="152">
        <f t="shared" si="15"/>
        <v>287.36250000000007</v>
      </c>
    </row>
    <row r="11" spans="1:43" ht="15.75" thickBot="1" x14ac:dyDescent="0.3">
      <c r="A11" s="46" t="s">
        <v>85</v>
      </c>
      <c r="B11" s="12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24"/>
      <c r="P11" s="120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30"/>
      <c r="AD11" s="120"/>
      <c r="AE11" s="19">
        <f>AE$4*$E43</f>
        <v>14.766666666666666</v>
      </c>
      <c r="AF11" s="19">
        <f>AF$4*$E43+AE11</f>
        <v>29.95</v>
      </c>
      <c r="AG11" s="19">
        <f t="shared" ref="AG11:AP11" si="26">AG$4*$E43+AF11</f>
        <v>45.55</v>
      </c>
      <c r="AH11" s="19">
        <f t="shared" si="26"/>
        <v>61.566666666666663</v>
      </c>
      <c r="AI11" s="19">
        <f t="shared" si="26"/>
        <v>78</v>
      </c>
      <c r="AJ11" s="19">
        <f t="shared" si="26"/>
        <v>94.85</v>
      </c>
      <c r="AK11" s="19">
        <f t="shared" si="26"/>
        <v>112.11666666666666</v>
      </c>
      <c r="AL11" s="19">
        <f t="shared" si="26"/>
        <v>129.79999999999998</v>
      </c>
      <c r="AM11" s="19">
        <f t="shared" si="26"/>
        <v>147.89999999999998</v>
      </c>
      <c r="AN11" s="19">
        <f t="shared" si="26"/>
        <v>166.41666666666663</v>
      </c>
      <c r="AO11" s="19">
        <f t="shared" si="26"/>
        <v>185.34999999999997</v>
      </c>
      <c r="AP11" s="19">
        <f t="shared" si="26"/>
        <v>204.69999999999996</v>
      </c>
      <c r="AQ11" s="152">
        <f t="shared" si="15"/>
        <v>204.69999999999996</v>
      </c>
    </row>
    <row r="12" spans="1:43" ht="15.75" thickBot="1" x14ac:dyDescent="0.3">
      <c r="A12" s="14" t="s">
        <v>90</v>
      </c>
      <c r="B12" s="13" t="s">
        <v>20</v>
      </c>
      <c r="C12" s="47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8"/>
      <c r="P12" s="128" t="s">
        <v>20</v>
      </c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8"/>
      <c r="AD12" s="128" t="s">
        <v>20</v>
      </c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</row>
    <row r="13" spans="1:43" x14ac:dyDescent="0.25">
      <c r="A13" s="7" t="s">
        <v>15</v>
      </c>
      <c r="B13" s="123"/>
      <c r="C13" s="9">
        <f>C14+C18</f>
        <v>69.145200000000003</v>
      </c>
      <c r="D13" s="9">
        <f t="shared" ref="D13:N13" si="27">D14+D18</f>
        <v>69.8904</v>
      </c>
      <c r="E13" s="9">
        <f t="shared" si="27"/>
        <v>70.635600000000011</v>
      </c>
      <c r="F13" s="9">
        <f t="shared" si="27"/>
        <v>71.380800000000008</v>
      </c>
      <c r="G13" s="9">
        <f t="shared" si="27"/>
        <v>72.126000000000005</v>
      </c>
      <c r="H13" s="9">
        <f t="shared" si="27"/>
        <v>72.871200000000002</v>
      </c>
      <c r="I13" s="9">
        <f t="shared" si="27"/>
        <v>73.616399999999999</v>
      </c>
      <c r="J13" s="9">
        <f t="shared" si="27"/>
        <v>74.36160000000001</v>
      </c>
      <c r="K13" s="9">
        <f t="shared" si="27"/>
        <v>75.106800000000007</v>
      </c>
      <c r="L13" s="9">
        <f t="shared" si="27"/>
        <v>75.852000000000004</v>
      </c>
      <c r="M13" s="9">
        <f t="shared" si="27"/>
        <v>76.597200000000001</v>
      </c>
      <c r="N13" s="9">
        <f t="shared" si="27"/>
        <v>77.342399999999998</v>
      </c>
      <c r="O13" s="29">
        <f>SUM(C13:N13)</f>
        <v>878.92560000000003</v>
      </c>
      <c r="P13" s="34"/>
      <c r="Q13" s="9">
        <f>Q14+Q18</f>
        <v>228.16800000000001</v>
      </c>
      <c r="R13" s="9">
        <f t="shared" ref="R13" si="28">R14+R18</f>
        <v>229.96799999999999</v>
      </c>
      <c r="S13" s="9">
        <f t="shared" ref="S13" si="29">S14+S18</f>
        <v>231.768</v>
      </c>
      <c r="T13" s="9">
        <f t="shared" ref="T13" si="30">T14+T18</f>
        <v>233.56800000000001</v>
      </c>
      <c r="U13" s="9">
        <f t="shared" ref="U13" si="31">U14+U18</f>
        <v>235.36799999999999</v>
      </c>
      <c r="V13" s="9">
        <f t="shared" ref="V13" si="32">V14+V18</f>
        <v>237.16800000000001</v>
      </c>
      <c r="W13" s="9">
        <f t="shared" ref="W13" si="33">W14+W18</f>
        <v>238.96800000000002</v>
      </c>
      <c r="X13" s="9">
        <f t="shared" ref="X13" si="34">X14+X18</f>
        <v>240.768</v>
      </c>
      <c r="Y13" s="9">
        <f t="shared" ref="Y13" si="35">Y14+Y18</f>
        <v>242.56800000000001</v>
      </c>
      <c r="Z13" s="9">
        <f t="shared" ref="Z13" si="36">Z14+Z18</f>
        <v>244.36799999999999</v>
      </c>
      <c r="AA13" s="9">
        <f t="shared" ref="AA13" si="37">AA14+AA18</f>
        <v>246.16800000000001</v>
      </c>
      <c r="AB13" s="9">
        <f t="shared" ref="AB13" si="38">AB14+AB18</f>
        <v>247.96800000000002</v>
      </c>
      <c r="AC13" s="33">
        <f>SUM(Q13:AB13)</f>
        <v>2856.8159999999998</v>
      </c>
      <c r="AD13" s="34"/>
      <c r="AE13" s="9">
        <f>AE14+AE18</f>
        <v>258.76800000000003</v>
      </c>
      <c r="AF13" s="9">
        <f t="shared" ref="AF13:AO13" si="39">AF14+AF18</f>
        <v>269.56799999999998</v>
      </c>
      <c r="AG13" s="9">
        <f t="shared" si="39"/>
        <v>280.36799999999999</v>
      </c>
      <c r="AH13" s="9">
        <f t="shared" si="39"/>
        <v>291.16800000000001</v>
      </c>
      <c r="AI13" s="9">
        <f t="shared" si="39"/>
        <v>301.96800000000002</v>
      </c>
      <c r="AJ13" s="9">
        <f t="shared" si="39"/>
        <v>312.76800000000003</v>
      </c>
      <c r="AK13" s="9">
        <f t="shared" si="39"/>
        <v>323.56799999999998</v>
      </c>
      <c r="AL13" s="9">
        <f t="shared" si="39"/>
        <v>334.36799999999999</v>
      </c>
      <c r="AM13" s="9">
        <f t="shared" si="39"/>
        <v>345.16800000000001</v>
      </c>
      <c r="AN13" s="9">
        <f t="shared" si="39"/>
        <v>355.96800000000002</v>
      </c>
      <c r="AO13" s="9">
        <f t="shared" si="39"/>
        <v>366.76800000000003</v>
      </c>
      <c r="AP13" s="9">
        <f>AP14+AP18</f>
        <v>377.56799999999998</v>
      </c>
      <c r="AQ13" s="29">
        <f>SUM(AE13:AP13)</f>
        <v>3818.0159999999996</v>
      </c>
    </row>
    <row r="14" spans="1:43" x14ac:dyDescent="0.25">
      <c r="A14" s="39" t="s">
        <v>16</v>
      </c>
      <c r="B14" s="36"/>
      <c r="C14" s="146">
        <f>C15+C16</f>
        <v>68.400000000000006</v>
      </c>
      <c r="D14" s="146">
        <f>D15+D16</f>
        <v>68.400000000000006</v>
      </c>
      <c r="E14" s="146">
        <f t="shared" ref="E14:M14" si="40">E15+E16</f>
        <v>68.400000000000006</v>
      </c>
      <c r="F14" s="146">
        <f t="shared" si="40"/>
        <v>68.400000000000006</v>
      </c>
      <c r="G14" s="146">
        <f t="shared" si="40"/>
        <v>68.400000000000006</v>
      </c>
      <c r="H14" s="146">
        <f t="shared" si="40"/>
        <v>68.400000000000006</v>
      </c>
      <c r="I14" s="146">
        <f t="shared" si="40"/>
        <v>68.400000000000006</v>
      </c>
      <c r="J14" s="146">
        <f t="shared" si="40"/>
        <v>68.400000000000006</v>
      </c>
      <c r="K14" s="146">
        <f t="shared" si="40"/>
        <v>68.400000000000006</v>
      </c>
      <c r="L14" s="146">
        <f t="shared" si="40"/>
        <v>68.400000000000006</v>
      </c>
      <c r="M14" s="146">
        <f t="shared" si="40"/>
        <v>68.400000000000006</v>
      </c>
      <c r="N14" s="146">
        <f>N15+N16</f>
        <v>68.400000000000006</v>
      </c>
      <c r="O14" s="27">
        <f>O15+O16</f>
        <v>820.79999999999984</v>
      </c>
      <c r="P14" s="36"/>
      <c r="Q14" s="146">
        <f>Q15+Q16</f>
        <v>216</v>
      </c>
      <c r="R14" s="146">
        <f>R15+R16</f>
        <v>216</v>
      </c>
      <c r="S14" s="146">
        <f t="shared" ref="S14" si="41">S15+S16</f>
        <v>216</v>
      </c>
      <c r="T14" s="146">
        <f t="shared" ref="T14" si="42">T15+T16</f>
        <v>216</v>
      </c>
      <c r="U14" s="146">
        <f t="shared" ref="U14" si="43">U15+U16</f>
        <v>216</v>
      </c>
      <c r="V14" s="146">
        <f t="shared" ref="V14" si="44">V15+V16</f>
        <v>216</v>
      </c>
      <c r="W14" s="146">
        <f t="shared" ref="W14" si="45">W15+W16</f>
        <v>216</v>
      </c>
      <c r="X14" s="146">
        <f t="shared" ref="X14" si="46">X15+X16</f>
        <v>216</v>
      </c>
      <c r="Y14" s="146">
        <f t="shared" ref="Y14" si="47">Y15+Y16</f>
        <v>216</v>
      </c>
      <c r="Z14" s="146">
        <f t="shared" ref="Z14" si="48">Z15+Z16</f>
        <v>216</v>
      </c>
      <c r="AA14" s="146">
        <f t="shared" ref="AA14" si="49">AA15+AA16</f>
        <v>216</v>
      </c>
      <c r="AB14" s="146">
        <f>AB15+AB16</f>
        <v>216</v>
      </c>
      <c r="AC14" s="147">
        <f>AC15+AC16</f>
        <v>2592</v>
      </c>
      <c r="AD14" s="36"/>
      <c r="AE14" s="146">
        <f>AE15+AE16</f>
        <v>219.6</v>
      </c>
      <c r="AF14" s="10">
        <f t="shared" ref="AF14:AO14" si="50">AF15+AF16</f>
        <v>223.2</v>
      </c>
      <c r="AG14" s="10">
        <f t="shared" si="50"/>
        <v>226.8</v>
      </c>
      <c r="AH14" s="10">
        <f t="shared" si="50"/>
        <v>230.4</v>
      </c>
      <c r="AI14" s="10">
        <f t="shared" si="50"/>
        <v>234</v>
      </c>
      <c r="AJ14" s="10">
        <f t="shared" si="50"/>
        <v>237.60000000000002</v>
      </c>
      <c r="AK14" s="10">
        <f t="shared" si="50"/>
        <v>241.2</v>
      </c>
      <c r="AL14" s="10">
        <f t="shared" si="50"/>
        <v>244.79999999999998</v>
      </c>
      <c r="AM14" s="10">
        <f t="shared" si="50"/>
        <v>248.4</v>
      </c>
      <c r="AN14" s="10">
        <f t="shared" si="50"/>
        <v>252</v>
      </c>
      <c r="AO14" s="10">
        <f t="shared" si="50"/>
        <v>255.60000000000002</v>
      </c>
      <c r="AP14" s="10">
        <f>AP15+AP16</f>
        <v>259.2</v>
      </c>
      <c r="AQ14" s="27">
        <f>AQ15+AQ16</f>
        <v>2872.8</v>
      </c>
    </row>
    <row r="15" spans="1:43" x14ac:dyDescent="0.25">
      <c r="A15" s="46" t="s">
        <v>30</v>
      </c>
      <c r="B15" s="36"/>
      <c r="C15" s="19">
        <f t="shared" ref="C15:N15" si="51">C5*$B34*$B15/1000</f>
        <v>0</v>
      </c>
      <c r="D15" s="19">
        <f t="shared" si="51"/>
        <v>0</v>
      </c>
      <c r="E15" s="19">
        <f t="shared" si="51"/>
        <v>0</v>
      </c>
      <c r="F15" s="19">
        <f t="shared" si="51"/>
        <v>0</v>
      </c>
      <c r="G15" s="19">
        <f t="shared" si="51"/>
        <v>0</v>
      </c>
      <c r="H15" s="19">
        <f t="shared" si="51"/>
        <v>0</v>
      </c>
      <c r="I15" s="19">
        <f t="shared" si="51"/>
        <v>0</v>
      </c>
      <c r="J15" s="19">
        <f t="shared" si="51"/>
        <v>0</v>
      </c>
      <c r="K15" s="19">
        <f t="shared" si="51"/>
        <v>0</v>
      </c>
      <c r="L15" s="19">
        <f t="shared" si="51"/>
        <v>0</v>
      </c>
      <c r="M15" s="19">
        <f t="shared" si="51"/>
        <v>0</v>
      </c>
      <c r="N15" s="19">
        <f t="shared" si="51"/>
        <v>0</v>
      </c>
      <c r="O15" s="27">
        <f t="shared" ref="O15:O20" si="52">SUM(C15:N15)</f>
        <v>0</v>
      </c>
      <c r="P15" s="124">
        <v>99</v>
      </c>
      <c r="Q15" s="19">
        <f t="shared" ref="Q15:AB15" si="53">Q5*$B34*$P15/1000</f>
        <v>29.7</v>
      </c>
      <c r="R15" s="19">
        <f t="shared" si="53"/>
        <v>29.7</v>
      </c>
      <c r="S15" s="19">
        <f t="shared" si="53"/>
        <v>29.7</v>
      </c>
      <c r="T15" s="19">
        <f t="shared" si="53"/>
        <v>29.7</v>
      </c>
      <c r="U15" s="19">
        <f t="shared" si="53"/>
        <v>29.7</v>
      </c>
      <c r="V15" s="19">
        <f t="shared" si="53"/>
        <v>29.7</v>
      </c>
      <c r="W15" s="19">
        <f t="shared" si="53"/>
        <v>29.7</v>
      </c>
      <c r="X15" s="19">
        <f t="shared" si="53"/>
        <v>29.7</v>
      </c>
      <c r="Y15" s="19">
        <f t="shared" si="53"/>
        <v>29.7</v>
      </c>
      <c r="Z15" s="19">
        <f t="shared" si="53"/>
        <v>29.7</v>
      </c>
      <c r="AA15" s="19">
        <f t="shared" si="53"/>
        <v>29.7</v>
      </c>
      <c r="AB15" s="19">
        <f t="shared" si="53"/>
        <v>29.7</v>
      </c>
      <c r="AC15" s="32">
        <f t="shared" ref="AC15:AC16" si="54">SUM(Q15:AB15)</f>
        <v>356.39999999999992</v>
      </c>
      <c r="AD15" s="124">
        <v>99</v>
      </c>
      <c r="AE15" s="10">
        <f>AE5*$B34*$AD15/1000</f>
        <v>30.195</v>
      </c>
      <c r="AF15" s="10">
        <f>AF5*$B34*$AD15/1000</f>
        <v>30.69</v>
      </c>
      <c r="AG15" s="10">
        <f t="shared" ref="AG15:AP15" si="55">AG5*$B34*$AD15/1000</f>
        <v>31.184999999999999</v>
      </c>
      <c r="AH15" s="10">
        <f t="shared" si="55"/>
        <v>31.68</v>
      </c>
      <c r="AI15" s="10">
        <f t="shared" si="55"/>
        <v>32.174999999999997</v>
      </c>
      <c r="AJ15" s="10">
        <f t="shared" si="55"/>
        <v>32.67</v>
      </c>
      <c r="AK15" s="10">
        <f t="shared" si="55"/>
        <v>33.164999999999999</v>
      </c>
      <c r="AL15" s="10">
        <f t="shared" si="55"/>
        <v>33.659999999999997</v>
      </c>
      <c r="AM15" s="10">
        <f t="shared" si="55"/>
        <v>34.155000000000001</v>
      </c>
      <c r="AN15" s="10">
        <f t="shared" si="55"/>
        <v>34.65</v>
      </c>
      <c r="AO15" s="10">
        <f t="shared" si="55"/>
        <v>35.145000000000003</v>
      </c>
      <c r="AP15" s="21">
        <f t="shared" si="55"/>
        <v>35.64</v>
      </c>
      <c r="AQ15" s="28">
        <f t="shared" ref="AQ15:AQ16" si="56">SUM(AE15:AP15)</f>
        <v>395.01</v>
      </c>
    </row>
    <row r="16" spans="1:43" x14ac:dyDescent="0.25">
      <c r="A16" s="46" t="s">
        <v>31</v>
      </c>
      <c r="B16" s="124">
        <v>19</v>
      </c>
      <c r="C16" s="19">
        <f t="shared" ref="C16:N16" si="57">C5*$B35*$B16/1000</f>
        <v>68.400000000000006</v>
      </c>
      <c r="D16" s="19">
        <f t="shared" si="57"/>
        <v>68.400000000000006</v>
      </c>
      <c r="E16" s="19">
        <f t="shared" si="57"/>
        <v>68.400000000000006</v>
      </c>
      <c r="F16" s="19">
        <f t="shared" si="57"/>
        <v>68.400000000000006</v>
      </c>
      <c r="G16" s="19">
        <f t="shared" si="57"/>
        <v>68.400000000000006</v>
      </c>
      <c r="H16" s="19">
        <f t="shared" si="57"/>
        <v>68.400000000000006</v>
      </c>
      <c r="I16" s="19">
        <f t="shared" si="57"/>
        <v>68.400000000000006</v>
      </c>
      <c r="J16" s="19">
        <f t="shared" si="57"/>
        <v>68.400000000000006</v>
      </c>
      <c r="K16" s="19">
        <f t="shared" si="57"/>
        <v>68.400000000000006</v>
      </c>
      <c r="L16" s="19">
        <f t="shared" si="57"/>
        <v>68.400000000000006</v>
      </c>
      <c r="M16" s="19">
        <f t="shared" si="57"/>
        <v>68.400000000000006</v>
      </c>
      <c r="N16" s="19">
        <f t="shared" si="57"/>
        <v>68.400000000000006</v>
      </c>
      <c r="O16" s="27">
        <f t="shared" si="52"/>
        <v>820.79999999999984</v>
      </c>
      <c r="P16" s="124">
        <v>69</v>
      </c>
      <c r="Q16" s="19">
        <f t="shared" ref="Q16:AB16" si="58">Q5*$B35*$P16/1000</f>
        <v>186.3</v>
      </c>
      <c r="R16" s="19">
        <f t="shared" si="58"/>
        <v>186.3</v>
      </c>
      <c r="S16" s="19">
        <f t="shared" si="58"/>
        <v>186.3</v>
      </c>
      <c r="T16" s="19">
        <f t="shared" si="58"/>
        <v>186.3</v>
      </c>
      <c r="U16" s="19">
        <f t="shared" si="58"/>
        <v>186.3</v>
      </c>
      <c r="V16" s="19">
        <f t="shared" si="58"/>
        <v>186.3</v>
      </c>
      <c r="W16" s="19">
        <f t="shared" si="58"/>
        <v>186.3</v>
      </c>
      <c r="X16" s="19">
        <f t="shared" si="58"/>
        <v>186.3</v>
      </c>
      <c r="Y16" s="19">
        <f t="shared" si="58"/>
        <v>186.3</v>
      </c>
      <c r="Z16" s="19">
        <f t="shared" si="58"/>
        <v>186.3</v>
      </c>
      <c r="AA16" s="19">
        <f t="shared" si="58"/>
        <v>186.3</v>
      </c>
      <c r="AB16" s="19">
        <f t="shared" si="58"/>
        <v>186.3</v>
      </c>
      <c r="AC16" s="32">
        <f t="shared" si="54"/>
        <v>2235.6</v>
      </c>
      <c r="AD16" s="124">
        <v>69</v>
      </c>
      <c r="AE16" s="10">
        <f>AE5*$B35*$AD16/1000</f>
        <v>189.405</v>
      </c>
      <c r="AF16" s="10">
        <f t="shared" ref="AF16:AP16" si="59">AF5*$B35*$AD16/1000</f>
        <v>192.51</v>
      </c>
      <c r="AG16" s="10">
        <f t="shared" si="59"/>
        <v>195.61500000000001</v>
      </c>
      <c r="AH16" s="10">
        <f t="shared" si="59"/>
        <v>198.72</v>
      </c>
      <c r="AI16" s="10">
        <f t="shared" si="59"/>
        <v>201.82499999999999</v>
      </c>
      <c r="AJ16" s="10">
        <f t="shared" si="59"/>
        <v>204.93</v>
      </c>
      <c r="AK16" s="10">
        <f t="shared" si="59"/>
        <v>208.035</v>
      </c>
      <c r="AL16" s="10">
        <f t="shared" si="59"/>
        <v>211.14</v>
      </c>
      <c r="AM16" s="10">
        <f t="shared" si="59"/>
        <v>214.245</v>
      </c>
      <c r="AN16" s="10">
        <f t="shared" si="59"/>
        <v>217.35</v>
      </c>
      <c r="AO16" s="10">
        <f t="shared" si="59"/>
        <v>220.45500000000001</v>
      </c>
      <c r="AP16" s="21">
        <f t="shared" si="59"/>
        <v>223.56</v>
      </c>
      <c r="AQ16" s="28">
        <f t="shared" si="56"/>
        <v>2477.79</v>
      </c>
    </row>
    <row r="17" spans="1:43" x14ac:dyDescent="0.25">
      <c r="A17" s="46"/>
      <c r="B17" s="36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2"/>
      <c r="P17" s="36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32"/>
      <c r="AD17" s="36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20"/>
      <c r="AQ17" s="28"/>
    </row>
    <row r="18" spans="1:43" x14ac:dyDescent="0.25">
      <c r="A18" s="39" t="s">
        <v>17</v>
      </c>
      <c r="B18" s="36"/>
      <c r="C18" s="146">
        <f>SUM(C19:C20)</f>
        <v>0.74520000000000008</v>
      </c>
      <c r="D18" s="146">
        <f t="shared" ref="D18:O18" si="60">SUM(D19:D20)</f>
        <v>1.4904000000000002</v>
      </c>
      <c r="E18" s="146">
        <f t="shared" si="60"/>
        <v>2.2355999999999998</v>
      </c>
      <c r="F18" s="146">
        <f t="shared" si="60"/>
        <v>2.9808000000000003</v>
      </c>
      <c r="G18" s="146">
        <f t="shared" si="60"/>
        <v>3.726</v>
      </c>
      <c r="H18" s="146">
        <f t="shared" si="60"/>
        <v>4.4711999999999996</v>
      </c>
      <c r="I18" s="146">
        <f t="shared" si="60"/>
        <v>5.2164000000000001</v>
      </c>
      <c r="J18" s="146">
        <f t="shared" si="60"/>
        <v>5.9616000000000007</v>
      </c>
      <c r="K18" s="146">
        <f t="shared" si="60"/>
        <v>6.7068000000000003</v>
      </c>
      <c r="L18" s="146">
        <f t="shared" si="60"/>
        <v>7.452</v>
      </c>
      <c r="M18" s="146">
        <f t="shared" si="60"/>
        <v>8.1971999999999987</v>
      </c>
      <c r="N18" s="146">
        <f t="shared" si="60"/>
        <v>8.9423999999999992</v>
      </c>
      <c r="O18" s="27">
        <f t="shared" si="60"/>
        <v>58.125599999999999</v>
      </c>
      <c r="P18" s="36"/>
      <c r="Q18" s="146">
        <f>SUM(Q19:Q20)</f>
        <v>12.167999999999999</v>
      </c>
      <c r="R18" s="146">
        <f t="shared" ref="R18" si="61">SUM(R19:R20)</f>
        <v>13.968</v>
      </c>
      <c r="S18" s="146">
        <f t="shared" ref="S18" si="62">SUM(S19:S20)</f>
        <v>15.768000000000001</v>
      </c>
      <c r="T18" s="146">
        <f t="shared" ref="T18" si="63">SUM(T19:T20)</f>
        <v>17.568000000000001</v>
      </c>
      <c r="U18" s="146">
        <f t="shared" ref="U18" si="64">SUM(U19:U20)</f>
        <v>19.367999999999999</v>
      </c>
      <c r="V18" s="146">
        <f t="shared" ref="V18" si="65">SUM(V19:V20)</f>
        <v>21.167999999999999</v>
      </c>
      <c r="W18" s="146">
        <f t="shared" ref="W18" si="66">SUM(W19:W20)</f>
        <v>22.968000000000004</v>
      </c>
      <c r="X18" s="146">
        <f t="shared" ref="X18" si="67">SUM(X19:X20)</f>
        <v>24.768000000000001</v>
      </c>
      <c r="Y18" s="146">
        <f t="shared" ref="Y18" si="68">SUM(Y19:Y20)</f>
        <v>26.568000000000001</v>
      </c>
      <c r="Z18" s="146">
        <f t="shared" ref="Z18" si="69">SUM(Z19:Z20)</f>
        <v>28.368000000000002</v>
      </c>
      <c r="AA18" s="146">
        <f t="shared" ref="AA18" si="70">SUM(AA19:AA20)</f>
        <v>30.167999999999999</v>
      </c>
      <c r="AB18" s="146">
        <f t="shared" ref="AB18" si="71">SUM(AB19:AB20)</f>
        <v>31.968000000000004</v>
      </c>
      <c r="AC18" s="147">
        <f t="shared" ref="AC18" si="72">SUM(AC19:AC20)</f>
        <v>264.81600000000003</v>
      </c>
      <c r="AD18" s="36"/>
      <c r="AE18" s="146">
        <f>SUM(AE19:AE20)</f>
        <v>39.168000000000006</v>
      </c>
      <c r="AF18" s="146">
        <f>SUM(AF19:AF20)</f>
        <v>46.368000000000002</v>
      </c>
      <c r="AG18" s="146">
        <f t="shared" ref="AG18:AP18" si="73">SUM(AG19:AG20)</f>
        <v>53.568000000000005</v>
      </c>
      <c r="AH18" s="146">
        <f t="shared" si="73"/>
        <v>60.768000000000001</v>
      </c>
      <c r="AI18" s="146">
        <f t="shared" si="73"/>
        <v>67.968000000000004</v>
      </c>
      <c r="AJ18" s="146">
        <f t="shared" si="73"/>
        <v>75.168000000000006</v>
      </c>
      <c r="AK18" s="146">
        <f t="shared" si="73"/>
        <v>82.368000000000009</v>
      </c>
      <c r="AL18" s="146">
        <f t="shared" si="73"/>
        <v>89.568000000000012</v>
      </c>
      <c r="AM18" s="146">
        <f t="shared" si="73"/>
        <v>96.768000000000001</v>
      </c>
      <c r="AN18" s="146">
        <f t="shared" si="73"/>
        <v>103.96800000000002</v>
      </c>
      <c r="AO18" s="146">
        <f t="shared" si="73"/>
        <v>111.16800000000001</v>
      </c>
      <c r="AP18" s="146">
        <f t="shared" si="73"/>
        <v>118.36800000000001</v>
      </c>
      <c r="AQ18" s="165">
        <f t="shared" ref="AQ18" si="74">SUM(AQ19:AQ20)</f>
        <v>945.21600000000001</v>
      </c>
    </row>
    <row r="19" spans="1:43" x14ac:dyDescent="0.25">
      <c r="A19" s="46" t="s">
        <v>30</v>
      </c>
      <c r="B19" s="36"/>
      <c r="C19" s="10">
        <f t="shared" ref="C19:N19" si="75">C6*$B$34*$B$19/1000</f>
        <v>0</v>
      </c>
      <c r="D19" s="10">
        <f t="shared" si="75"/>
        <v>0</v>
      </c>
      <c r="E19" s="10">
        <f t="shared" si="75"/>
        <v>0</v>
      </c>
      <c r="F19" s="10">
        <f t="shared" si="75"/>
        <v>0</v>
      </c>
      <c r="G19" s="10">
        <f t="shared" si="75"/>
        <v>0</v>
      </c>
      <c r="H19" s="10">
        <f t="shared" si="75"/>
        <v>0</v>
      </c>
      <c r="I19" s="10">
        <f t="shared" si="75"/>
        <v>0</v>
      </c>
      <c r="J19" s="10">
        <f t="shared" si="75"/>
        <v>0</v>
      </c>
      <c r="K19" s="10">
        <f t="shared" si="75"/>
        <v>0</v>
      </c>
      <c r="L19" s="10">
        <f t="shared" si="75"/>
        <v>0</v>
      </c>
      <c r="M19" s="10">
        <f t="shared" si="75"/>
        <v>0</v>
      </c>
      <c r="N19" s="10">
        <f t="shared" si="75"/>
        <v>0</v>
      </c>
      <c r="O19" s="27">
        <f t="shared" si="52"/>
        <v>0</v>
      </c>
      <c r="P19" s="124">
        <v>99</v>
      </c>
      <c r="Q19" s="10">
        <f t="shared" ref="Q19:AB19" si="76">Q6*$B$34*$P$19/1000</f>
        <v>1.6731</v>
      </c>
      <c r="R19" s="10">
        <f t="shared" si="76"/>
        <v>1.9206000000000001</v>
      </c>
      <c r="S19" s="10">
        <f t="shared" si="76"/>
        <v>2.1681000000000004</v>
      </c>
      <c r="T19" s="10">
        <f t="shared" si="76"/>
        <v>2.4156000000000004</v>
      </c>
      <c r="U19" s="10">
        <f t="shared" si="76"/>
        <v>2.6631000000000005</v>
      </c>
      <c r="V19" s="10">
        <f t="shared" si="76"/>
        <v>2.9106000000000005</v>
      </c>
      <c r="W19" s="10">
        <f t="shared" si="76"/>
        <v>3.1581000000000006</v>
      </c>
      <c r="X19" s="10">
        <f t="shared" si="76"/>
        <v>3.4055999999999997</v>
      </c>
      <c r="Y19" s="10">
        <f t="shared" si="76"/>
        <v>3.6530999999999998</v>
      </c>
      <c r="Z19" s="10">
        <f t="shared" si="76"/>
        <v>3.9006000000000003</v>
      </c>
      <c r="AA19" s="10">
        <f t="shared" si="76"/>
        <v>4.1481000000000003</v>
      </c>
      <c r="AB19" s="10">
        <f t="shared" si="76"/>
        <v>4.3956</v>
      </c>
      <c r="AC19" s="32">
        <f t="shared" ref="AC19:AC20" si="77">SUM(Q19:AB19)</f>
        <v>36.412200000000006</v>
      </c>
      <c r="AD19" s="124">
        <v>99</v>
      </c>
      <c r="AE19" s="10">
        <f>AE6*$B$34*$AD$19/1000</f>
        <v>5.3856000000000002</v>
      </c>
      <c r="AF19" s="10">
        <f>AF6*$B$34*$AD$19/1000</f>
        <v>6.3756000000000004</v>
      </c>
      <c r="AG19" s="10">
        <f t="shared" ref="AG19:AP19" si="78">AG6*$B$34*$AD$19/1000</f>
        <v>7.3656000000000006</v>
      </c>
      <c r="AH19" s="10">
        <f t="shared" si="78"/>
        <v>8.3556000000000008</v>
      </c>
      <c r="AI19" s="10">
        <f t="shared" si="78"/>
        <v>9.345600000000001</v>
      </c>
      <c r="AJ19" s="10">
        <f t="shared" si="78"/>
        <v>10.335600000000001</v>
      </c>
      <c r="AK19" s="10">
        <f t="shared" si="78"/>
        <v>11.3256</v>
      </c>
      <c r="AL19" s="10">
        <f t="shared" si="78"/>
        <v>12.3156</v>
      </c>
      <c r="AM19" s="10">
        <f t="shared" si="78"/>
        <v>13.3056</v>
      </c>
      <c r="AN19" s="10">
        <f t="shared" si="78"/>
        <v>14.2956</v>
      </c>
      <c r="AO19" s="10">
        <f t="shared" si="78"/>
        <v>15.285600000000001</v>
      </c>
      <c r="AP19" s="10">
        <f t="shared" si="78"/>
        <v>16.275600000000001</v>
      </c>
      <c r="AQ19" s="28">
        <f t="shared" ref="AQ19:AQ20" si="79">SUM(AE19:AP19)</f>
        <v>129.96720000000002</v>
      </c>
    </row>
    <row r="20" spans="1:43" x14ac:dyDescent="0.25">
      <c r="A20" s="46" t="s">
        <v>31</v>
      </c>
      <c r="B20" s="124">
        <v>69</v>
      </c>
      <c r="C20" s="10">
        <f>C6*$B$35*$B$20/1000</f>
        <v>0.74520000000000008</v>
      </c>
      <c r="D20" s="10">
        <f t="shared" ref="D20:N20" si="80">D6*$B$35*$B$20/1000</f>
        <v>1.4904000000000002</v>
      </c>
      <c r="E20" s="10">
        <f t="shared" si="80"/>
        <v>2.2355999999999998</v>
      </c>
      <c r="F20" s="10">
        <f t="shared" si="80"/>
        <v>2.9808000000000003</v>
      </c>
      <c r="G20" s="10">
        <f t="shared" si="80"/>
        <v>3.726</v>
      </c>
      <c r="H20" s="10">
        <f t="shared" si="80"/>
        <v>4.4711999999999996</v>
      </c>
      <c r="I20" s="10">
        <f t="shared" si="80"/>
        <v>5.2164000000000001</v>
      </c>
      <c r="J20" s="10">
        <f t="shared" si="80"/>
        <v>5.9616000000000007</v>
      </c>
      <c r="K20" s="10">
        <f t="shared" si="80"/>
        <v>6.7068000000000003</v>
      </c>
      <c r="L20" s="10">
        <f t="shared" si="80"/>
        <v>7.452</v>
      </c>
      <c r="M20" s="10">
        <f t="shared" si="80"/>
        <v>8.1971999999999987</v>
      </c>
      <c r="N20" s="10">
        <f t="shared" si="80"/>
        <v>8.9423999999999992</v>
      </c>
      <c r="O20" s="27">
        <f t="shared" si="52"/>
        <v>58.125599999999999</v>
      </c>
      <c r="P20" s="124">
        <v>69</v>
      </c>
      <c r="Q20" s="10">
        <f>Q6*$B$35*$P$20/1000</f>
        <v>10.494899999999999</v>
      </c>
      <c r="R20" s="10">
        <f t="shared" ref="R20:AB20" si="81">R6*$B$35*$P$20/1000</f>
        <v>12.0474</v>
      </c>
      <c r="S20" s="10">
        <f t="shared" si="81"/>
        <v>13.5999</v>
      </c>
      <c r="T20" s="10">
        <f t="shared" si="81"/>
        <v>15.1524</v>
      </c>
      <c r="U20" s="10">
        <f t="shared" si="81"/>
        <v>16.704899999999999</v>
      </c>
      <c r="V20" s="10">
        <f t="shared" si="81"/>
        <v>18.257400000000001</v>
      </c>
      <c r="W20" s="10">
        <f t="shared" si="81"/>
        <v>19.809900000000003</v>
      </c>
      <c r="X20" s="10">
        <f t="shared" si="81"/>
        <v>21.362400000000001</v>
      </c>
      <c r="Y20" s="10">
        <f t="shared" si="81"/>
        <v>22.914900000000003</v>
      </c>
      <c r="Z20" s="10">
        <f t="shared" si="81"/>
        <v>24.467400000000001</v>
      </c>
      <c r="AA20" s="10">
        <f t="shared" si="81"/>
        <v>26.0199</v>
      </c>
      <c r="AB20" s="10">
        <f t="shared" si="81"/>
        <v>27.572400000000002</v>
      </c>
      <c r="AC20" s="32">
        <f t="shared" si="77"/>
        <v>228.40380000000005</v>
      </c>
      <c r="AD20" s="124">
        <v>69</v>
      </c>
      <c r="AE20" s="10">
        <f>AE6*$B$35*$AD$20/1000</f>
        <v>33.782400000000003</v>
      </c>
      <c r="AF20" s="10">
        <f>AF6*$B$35*$AD$20/1000</f>
        <v>39.992400000000004</v>
      </c>
      <c r="AG20" s="10">
        <f t="shared" ref="AG20:AP20" si="82">AG6*$B$35*$AD$20/1000</f>
        <v>46.202400000000004</v>
      </c>
      <c r="AH20" s="10">
        <f t="shared" si="82"/>
        <v>52.412399999999998</v>
      </c>
      <c r="AI20" s="10">
        <f t="shared" si="82"/>
        <v>58.622399999999999</v>
      </c>
      <c r="AJ20" s="10">
        <f t="shared" si="82"/>
        <v>64.832400000000007</v>
      </c>
      <c r="AK20" s="10">
        <f t="shared" si="82"/>
        <v>71.042400000000015</v>
      </c>
      <c r="AL20" s="10">
        <f t="shared" si="82"/>
        <v>77.252400000000009</v>
      </c>
      <c r="AM20" s="10">
        <f t="shared" si="82"/>
        <v>83.462400000000002</v>
      </c>
      <c r="AN20" s="10">
        <f t="shared" si="82"/>
        <v>89.67240000000001</v>
      </c>
      <c r="AO20" s="10">
        <f t="shared" si="82"/>
        <v>95.882400000000004</v>
      </c>
      <c r="AP20" s="10">
        <f t="shared" si="82"/>
        <v>102.09240000000001</v>
      </c>
      <c r="AQ20" s="28">
        <f t="shared" si="79"/>
        <v>815.24879999999996</v>
      </c>
    </row>
    <row r="21" spans="1:43" x14ac:dyDescent="0.25">
      <c r="A21" s="46"/>
      <c r="B21" s="36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22"/>
      <c r="P21" s="36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32"/>
      <c r="AD21" s="36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27"/>
    </row>
    <row r="22" spans="1:43" x14ac:dyDescent="0.25">
      <c r="A22" s="7" t="s">
        <v>21</v>
      </c>
      <c r="B22" s="37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35"/>
      <c r="P22" s="37"/>
      <c r="Q22" s="9">
        <f t="shared" ref="Q22:AB22" si="83">SUM(Q23:Q25)</f>
        <v>1.1949770833333333</v>
      </c>
      <c r="R22" s="9">
        <f t="shared" si="83"/>
        <v>2.3993812499999998</v>
      </c>
      <c r="S22" s="9">
        <f t="shared" si="83"/>
        <v>3.6132124999999999</v>
      </c>
      <c r="T22" s="9">
        <f t="shared" si="83"/>
        <v>4.8364708333333333</v>
      </c>
      <c r="U22" s="9">
        <f t="shared" si="83"/>
        <v>6.0691562499999998</v>
      </c>
      <c r="V22" s="9">
        <f t="shared" si="83"/>
        <v>7.31126875</v>
      </c>
      <c r="W22" s="9">
        <f t="shared" si="83"/>
        <v>8.5628083333333329</v>
      </c>
      <c r="X22" s="9">
        <f t="shared" si="83"/>
        <v>9.8237750000000013</v>
      </c>
      <c r="Y22" s="9">
        <f t="shared" si="83"/>
        <v>11.094168750000001</v>
      </c>
      <c r="Z22" s="9">
        <f t="shared" si="83"/>
        <v>12.373989583333335</v>
      </c>
      <c r="AA22" s="9">
        <f t="shared" si="83"/>
        <v>13.663237499999999</v>
      </c>
      <c r="AB22" s="9">
        <f t="shared" si="83"/>
        <v>14.961912500000002</v>
      </c>
      <c r="AC22" s="33">
        <f t="shared" ref="AC22:AC23" si="84">SUM(Q22:AB22)</f>
        <v>95.90435833333332</v>
      </c>
      <c r="AD22" s="166"/>
      <c r="AE22" s="9">
        <f t="shared" ref="AE22:AP22" si="85">SUM(AE23:AE25)</f>
        <v>11.656029166666666</v>
      </c>
      <c r="AF22" s="9">
        <f t="shared" si="85"/>
        <v>13.356562499999999</v>
      </c>
      <c r="AG22" s="9">
        <f t="shared" si="85"/>
        <v>15.1037625</v>
      </c>
      <c r="AH22" s="9">
        <f t="shared" si="85"/>
        <v>16.897629166666668</v>
      </c>
      <c r="AI22" s="9">
        <f t="shared" si="85"/>
        <v>18.738162500000001</v>
      </c>
      <c r="AJ22" s="9">
        <f t="shared" si="85"/>
        <v>20.625362500000001</v>
      </c>
      <c r="AK22" s="9">
        <f t="shared" si="85"/>
        <v>22.559229166666672</v>
      </c>
      <c r="AL22" s="9">
        <f t="shared" si="85"/>
        <v>24.539762500000005</v>
      </c>
      <c r="AM22" s="9">
        <f t="shared" si="85"/>
        <v>26.566962500000002</v>
      </c>
      <c r="AN22" s="9">
        <f t="shared" si="85"/>
        <v>28.640829166666673</v>
      </c>
      <c r="AO22" s="9">
        <f t="shared" si="85"/>
        <v>30.761362500000004</v>
      </c>
      <c r="AP22" s="9">
        <f t="shared" si="85"/>
        <v>32.928562500000005</v>
      </c>
      <c r="AQ22" s="29">
        <f t="shared" ref="AQ22:AQ23" si="86">SUM(AE22:AP22)</f>
        <v>262.37421666666671</v>
      </c>
    </row>
    <row r="23" spans="1:43" x14ac:dyDescent="0.25">
      <c r="A23" s="8" t="s">
        <v>24</v>
      </c>
      <c r="B23" s="36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22"/>
      <c r="P23" s="124">
        <v>19</v>
      </c>
      <c r="Q23" s="10">
        <f>Q8*$P23/1000</f>
        <v>0.75263749999999996</v>
      </c>
      <c r="R23" s="10">
        <f t="shared" ref="R23:AB23" si="87">R8*$P23/1000</f>
        <v>1.5112124999999998</v>
      </c>
      <c r="S23" s="10">
        <f t="shared" si="87"/>
        <v>2.275725</v>
      </c>
      <c r="T23" s="10">
        <f t="shared" si="87"/>
        <v>3.0461749999999999</v>
      </c>
      <c r="U23" s="10">
        <f t="shared" si="87"/>
        <v>3.8225625000000001</v>
      </c>
      <c r="V23" s="10">
        <f t="shared" si="87"/>
        <v>4.6048875000000002</v>
      </c>
      <c r="W23" s="10">
        <f t="shared" si="87"/>
        <v>5.3931500000000003</v>
      </c>
      <c r="X23" s="10">
        <f t="shared" si="87"/>
        <v>6.1873500000000003</v>
      </c>
      <c r="Y23" s="10">
        <f t="shared" si="87"/>
        <v>6.9874875000000012</v>
      </c>
      <c r="Z23" s="10">
        <f t="shared" si="87"/>
        <v>7.7935625000000011</v>
      </c>
      <c r="AA23" s="10">
        <f t="shared" si="87"/>
        <v>8.605575</v>
      </c>
      <c r="AB23" s="10">
        <f t="shared" si="87"/>
        <v>9.4235250000000015</v>
      </c>
      <c r="AC23" s="32">
        <f t="shared" si="84"/>
        <v>60.403850000000006</v>
      </c>
      <c r="AD23" s="124">
        <v>9</v>
      </c>
      <c r="AE23" s="10">
        <f>AE8*$AD23/1000</f>
        <v>5.1282750000000004</v>
      </c>
      <c r="AF23" s="10">
        <f t="shared" ref="AF23:AP23" si="88">AF8*$AD23/1000</f>
        <v>5.8115250000000005</v>
      </c>
      <c r="AG23" s="10">
        <f t="shared" si="88"/>
        <v>6.5135250000000005</v>
      </c>
      <c r="AH23" s="10">
        <f t="shared" si="88"/>
        <v>7.2342750000000002</v>
      </c>
      <c r="AI23" s="10">
        <f t="shared" si="88"/>
        <v>7.9737750000000007</v>
      </c>
      <c r="AJ23" s="10">
        <f t="shared" si="88"/>
        <v>8.7320250000000001</v>
      </c>
      <c r="AK23" s="10">
        <f t="shared" si="88"/>
        <v>9.5090250000000012</v>
      </c>
      <c r="AL23" s="10">
        <f t="shared" si="88"/>
        <v>10.304775000000001</v>
      </c>
      <c r="AM23" s="10">
        <f t="shared" si="88"/>
        <v>11.119275000000002</v>
      </c>
      <c r="AN23" s="10">
        <f t="shared" si="88"/>
        <v>11.952525000000001</v>
      </c>
      <c r="AO23" s="10">
        <f t="shared" si="88"/>
        <v>12.804525000000002</v>
      </c>
      <c r="AP23" s="10">
        <f t="shared" si="88"/>
        <v>13.675275000000001</v>
      </c>
      <c r="AQ23" s="27">
        <f t="shared" si="86"/>
        <v>110.75880000000002</v>
      </c>
    </row>
    <row r="24" spans="1:43" x14ac:dyDescent="0.25">
      <c r="A24" s="8" t="s">
        <v>23</v>
      </c>
      <c r="B24" s="36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22"/>
      <c r="P24" s="124">
        <v>19</v>
      </c>
      <c r="Q24" s="10">
        <f>Q9*$P24/1000</f>
        <v>0.25087916666666665</v>
      </c>
      <c r="R24" s="10">
        <f t="shared" ref="R24:AB24" si="89">R9*$P24/1000</f>
        <v>0.50373750000000006</v>
      </c>
      <c r="S24" s="10">
        <f t="shared" si="89"/>
        <v>0.75857499999999989</v>
      </c>
      <c r="T24" s="10">
        <f t="shared" si="89"/>
        <v>1.0153916666666667</v>
      </c>
      <c r="U24" s="10">
        <f t="shared" si="89"/>
        <v>1.2741875</v>
      </c>
      <c r="V24" s="10">
        <f t="shared" si="89"/>
        <v>1.5349624999999998</v>
      </c>
      <c r="W24" s="10">
        <f t="shared" si="89"/>
        <v>1.7977166666666664</v>
      </c>
      <c r="X24" s="10">
        <f t="shared" si="89"/>
        <v>2.0624499999999997</v>
      </c>
      <c r="Y24" s="10">
        <f t="shared" si="89"/>
        <v>2.3291624999999998</v>
      </c>
      <c r="Z24" s="10">
        <f t="shared" si="89"/>
        <v>2.5978541666666666</v>
      </c>
      <c r="AA24" s="10">
        <f t="shared" si="89"/>
        <v>2.868525</v>
      </c>
      <c r="AB24" s="10">
        <f t="shared" si="89"/>
        <v>3.1411749999999996</v>
      </c>
      <c r="AC24" s="32"/>
      <c r="AD24" s="124">
        <v>19</v>
      </c>
      <c r="AE24" s="10">
        <f>AE9*$AD24/1000</f>
        <v>3.7023083333333329</v>
      </c>
      <c r="AF24" s="10">
        <f t="shared" ref="AF24:AP24" si="90">AF9*$AD24/1000</f>
        <v>4.2792749999999993</v>
      </c>
      <c r="AG24" s="10">
        <f t="shared" si="90"/>
        <v>4.8720749999999997</v>
      </c>
      <c r="AH24" s="10">
        <f t="shared" si="90"/>
        <v>5.4807083333333342</v>
      </c>
      <c r="AI24" s="10">
        <f t="shared" si="90"/>
        <v>6.1051750000000009</v>
      </c>
      <c r="AJ24" s="10">
        <f t="shared" si="90"/>
        <v>6.7454750000000008</v>
      </c>
      <c r="AK24" s="10">
        <f t="shared" si="90"/>
        <v>7.4016083333333347</v>
      </c>
      <c r="AL24" s="10">
        <f t="shared" si="90"/>
        <v>8.0735750000000017</v>
      </c>
      <c r="AM24" s="10">
        <f t="shared" si="90"/>
        <v>8.761375000000001</v>
      </c>
      <c r="AN24" s="10">
        <f t="shared" si="90"/>
        <v>9.4650083333333352</v>
      </c>
      <c r="AO24" s="10">
        <f t="shared" si="90"/>
        <v>10.184475000000003</v>
      </c>
      <c r="AP24" s="10">
        <f t="shared" si="90"/>
        <v>10.919775000000003</v>
      </c>
      <c r="AQ24" s="27"/>
    </row>
    <row r="25" spans="1:43" x14ac:dyDescent="0.25">
      <c r="A25" s="39" t="s">
        <v>87</v>
      </c>
      <c r="B25" s="125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22"/>
      <c r="P25" s="124">
        <v>29</v>
      </c>
      <c r="Q25" s="10">
        <f>Q10*$P25/1000</f>
        <v>0.19146041666666663</v>
      </c>
      <c r="R25" s="10">
        <f t="shared" ref="R25:AB25" si="91">R10*$P25/1000</f>
        <v>0.38443125</v>
      </c>
      <c r="S25" s="10">
        <f t="shared" si="91"/>
        <v>0.57891249999999994</v>
      </c>
      <c r="T25" s="10">
        <f t="shared" si="91"/>
        <v>0.77490416666666662</v>
      </c>
      <c r="U25" s="10">
        <f t="shared" si="91"/>
        <v>0.97240625000000003</v>
      </c>
      <c r="V25" s="10">
        <f t="shared" si="91"/>
        <v>1.1714187499999997</v>
      </c>
      <c r="W25" s="10">
        <f t="shared" si="91"/>
        <v>1.3719416666666666</v>
      </c>
      <c r="X25" s="10">
        <f t="shared" si="91"/>
        <v>1.5739749999999999</v>
      </c>
      <c r="Y25" s="10">
        <f t="shared" si="91"/>
        <v>1.77751875</v>
      </c>
      <c r="Z25" s="10">
        <f t="shared" si="91"/>
        <v>1.9825729166666666</v>
      </c>
      <c r="AA25" s="10">
        <f t="shared" si="91"/>
        <v>2.1891374999999997</v>
      </c>
      <c r="AB25" s="10">
        <f t="shared" si="91"/>
        <v>2.3972124999999997</v>
      </c>
      <c r="AC25" s="32">
        <f t="shared" ref="AC25" si="92">SUM(Q25:AB25)</f>
        <v>15.365891666666666</v>
      </c>
      <c r="AD25" s="224">
        <v>29</v>
      </c>
      <c r="AE25" s="10">
        <f>AE10*$AD25/1000</f>
        <v>2.8254458333333332</v>
      </c>
      <c r="AF25" s="10">
        <f t="shared" ref="AF25:AP25" si="93">AF10*$AD25/1000</f>
        <v>3.2657624999999997</v>
      </c>
      <c r="AG25" s="10">
        <f t="shared" si="93"/>
        <v>3.7181625000000005</v>
      </c>
      <c r="AH25" s="10">
        <f t="shared" si="93"/>
        <v>4.1826458333333338</v>
      </c>
      <c r="AI25" s="10">
        <f t="shared" si="93"/>
        <v>4.6592125000000006</v>
      </c>
      <c r="AJ25" s="10">
        <f t="shared" si="93"/>
        <v>5.1478625000000005</v>
      </c>
      <c r="AK25" s="10">
        <f t="shared" si="93"/>
        <v>5.648595833333335</v>
      </c>
      <c r="AL25" s="10">
        <f t="shared" si="93"/>
        <v>6.1614125000000008</v>
      </c>
      <c r="AM25" s="10">
        <f t="shared" si="93"/>
        <v>6.6863125000000005</v>
      </c>
      <c r="AN25" s="10">
        <f t="shared" si="93"/>
        <v>7.2232958333333341</v>
      </c>
      <c r="AO25" s="10">
        <f t="shared" si="93"/>
        <v>7.7723625000000007</v>
      </c>
      <c r="AP25" s="10">
        <f t="shared" si="93"/>
        <v>8.333512500000003</v>
      </c>
      <c r="AQ25" s="27">
        <f t="shared" ref="AQ25" si="94">SUM(AE25:AP25)</f>
        <v>65.624583333333334</v>
      </c>
    </row>
    <row r="26" spans="1:43" x14ac:dyDescent="0.25">
      <c r="A26" s="8" t="s">
        <v>88</v>
      </c>
      <c r="B26" s="125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22"/>
      <c r="P26" s="124">
        <v>15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32"/>
      <c r="AD26" s="224">
        <v>15</v>
      </c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17"/>
    </row>
    <row r="27" spans="1:43" ht="15.75" thickBot="1" x14ac:dyDescent="0.3">
      <c r="A27" s="122" t="s">
        <v>22</v>
      </c>
      <c r="B27" s="126"/>
      <c r="C27" s="113">
        <f>C13+C22</f>
        <v>69.145200000000003</v>
      </c>
      <c r="D27" s="113">
        <f t="shared" ref="D27:N27" si="95">D13+D22</f>
        <v>69.8904</v>
      </c>
      <c r="E27" s="113">
        <f t="shared" si="95"/>
        <v>70.635600000000011</v>
      </c>
      <c r="F27" s="113">
        <f t="shared" si="95"/>
        <v>71.380800000000008</v>
      </c>
      <c r="G27" s="113">
        <f t="shared" si="95"/>
        <v>72.126000000000005</v>
      </c>
      <c r="H27" s="113">
        <f t="shared" si="95"/>
        <v>72.871200000000002</v>
      </c>
      <c r="I27" s="113">
        <f t="shared" si="95"/>
        <v>73.616399999999999</v>
      </c>
      <c r="J27" s="113">
        <f t="shared" si="95"/>
        <v>74.36160000000001</v>
      </c>
      <c r="K27" s="113">
        <f t="shared" si="95"/>
        <v>75.106800000000007</v>
      </c>
      <c r="L27" s="113">
        <f t="shared" si="95"/>
        <v>75.852000000000004</v>
      </c>
      <c r="M27" s="113">
        <f t="shared" si="95"/>
        <v>76.597200000000001</v>
      </c>
      <c r="N27" s="113">
        <f t="shared" si="95"/>
        <v>77.342399999999998</v>
      </c>
      <c r="O27" s="114">
        <f>SUM(C27:N27)</f>
        <v>878.92560000000003</v>
      </c>
      <c r="P27" s="129"/>
      <c r="Q27" s="115">
        <f>Q13+Q22</f>
        <v>229.36297708333333</v>
      </c>
      <c r="R27" s="115">
        <f t="shared" ref="R27:AB27" si="96">R13+R22</f>
        <v>232.36738124999999</v>
      </c>
      <c r="S27" s="115">
        <f t="shared" si="96"/>
        <v>235.3812125</v>
      </c>
      <c r="T27" s="115">
        <f t="shared" si="96"/>
        <v>238.40447083333333</v>
      </c>
      <c r="U27" s="115">
        <f t="shared" si="96"/>
        <v>241.43715624999999</v>
      </c>
      <c r="V27" s="115">
        <f t="shared" si="96"/>
        <v>244.47926875000002</v>
      </c>
      <c r="W27" s="115">
        <f t="shared" si="96"/>
        <v>247.53080833333334</v>
      </c>
      <c r="X27" s="115">
        <f t="shared" si="96"/>
        <v>250.59177500000001</v>
      </c>
      <c r="Y27" s="115">
        <f t="shared" si="96"/>
        <v>253.66216875000001</v>
      </c>
      <c r="Z27" s="115">
        <f t="shared" si="96"/>
        <v>256.74198958333335</v>
      </c>
      <c r="AA27" s="115">
        <f t="shared" si="96"/>
        <v>259.83123749999999</v>
      </c>
      <c r="AB27" s="115">
        <f t="shared" si="96"/>
        <v>262.9299125</v>
      </c>
      <c r="AC27" s="116">
        <f>SUM(Q27:AB27)</f>
        <v>2952.7203583333339</v>
      </c>
      <c r="AD27" s="126"/>
      <c r="AE27" s="113">
        <f>AE13+AE22</f>
        <v>270.42402916666668</v>
      </c>
      <c r="AF27" s="113">
        <f t="shared" ref="AF27:AP27" si="97">AF13+AF22</f>
        <v>282.92456249999998</v>
      </c>
      <c r="AG27" s="113">
        <f t="shared" si="97"/>
        <v>295.47176250000001</v>
      </c>
      <c r="AH27" s="113">
        <f t="shared" si="97"/>
        <v>308.06562916666667</v>
      </c>
      <c r="AI27" s="113">
        <f t="shared" si="97"/>
        <v>320.7061625</v>
      </c>
      <c r="AJ27" s="113">
        <f t="shared" si="97"/>
        <v>333.39336250000002</v>
      </c>
      <c r="AK27" s="113">
        <f t="shared" si="97"/>
        <v>346.12722916666667</v>
      </c>
      <c r="AL27" s="113">
        <f t="shared" si="97"/>
        <v>358.90776249999999</v>
      </c>
      <c r="AM27" s="113">
        <f t="shared" si="97"/>
        <v>371.73496249999999</v>
      </c>
      <c r="AN27" s="113">
        <f t="shared" si="97"/>
        <v>384.60882916666668</v>
      </c>
      <c r="AO27" s="113">
        <f t="shared" si="97"/>
        <v>397.52936250000005</v>
      </c>
      <c r="AP27" s="113">
        <f t="shared" si="97"/>
        <v>410.49656249999998</v>
      </c>
      <c r="AQ27" s="114">
        <f>SUM(AE27:AP27)</f>
        <v>4080.3902166666662</v>
      </c>
    </row>
    <row r="29" spans="1:43" ht="15.75" thickBot="1" x14ac:dyDescent="0.3"/>
    <row r="30" spans="1:43" x14ac:dyDescent="0.25">
      <c r="A30" s="232" t="s">
        <v>78</v>
      </c>
      <c r="B30" s="233"/>
      <c r="C30" s="233"/>
      <c r="D30" s="233"/>
      <c r="E30" s="234"/>
    </row>
    <row r="31" spans="1:43" x14ac:dyDescent="0.25">
      <c r="A31" s="142" t="s">
        <v>28</v>
      </c>
      <c r="B31" s="143">
        <v>4000</v>
      </c>
      <c r="C31" s="38"/>
      <c r="D31" s="38"/>
      <c r="E31" s="131"/>
    </row>
    <row r="32" spans="1:43" x14ac:dyDescent="0.25">
      <c r="A32" s="132" t="s">
        <v>29</v>
      </c>
      <c r="B32" s="18">
        <v>0.25</v>
      </c>
      <c r="C32" s="140"/>
      <c r="D32" s="38"/>
      <c r="E32" s="131"/>
    </row>
    <row r="33" spans="1:10" x14ac:dyDescent="0.25">
      <c r="A33" s="130" t="s">
        <v>27</v>
      </c>
      <c r="B33" s="17"/>
      <c r="C33" s="38"/>
      <c r="D33" s="38"/>
      <c r="E33" s="131"/>
    </row>
    <row r="34" spans="1:10" x14ac:dyDescent="0.25">
      <c r="A34" s="132" t="s">
        <v>26</v>
      </c>
      <c r="B34" s="18">
        <v>0.1</v>
      </c>
      <c r="C34" s="38"/>
      <c r="D34" s="133"/>
      <c r="E34" s="131"/>
    </row>
    <row r="35" spans="1:10" x14ac:dyDescent="0.25">
      <c r="A35" s="132" t="s">
        <v>25</v>
      </c>
      <c r="B35" s="18">
        <v>0.9</v>
      </c>
      <c r="C35" s="38"/>
      <c r="D35" s="38"/>
      <c r="E35" s="131"/>
    </row>
    <row r="36" spans="1:10" x14ac:dyDescent="0.25">
      <c r="A36" s="134"/>
      <c r="B36" s="110"/>
      <c r="C36" s="38"/>
      <c r="D36" s="38"/>
      <c r="E36" s="131"/>
    </row>
    <row r="37" spans="1:10" x14ac:dyDescent="0.25">
      <c r="A37" s="132" t="s">
        <v>55</v>
      </c>
      <c r="B37" s="18">
        <v>0.99</v>
      </c>
      <c r="C37" s="38"/>
      <c r="D37" s="38"/>
      <c r="E37" s="131"/>
      <c r="H37" s="16"/>
      <c r="J37" s="16"/>
    </row>
    <row r="38" spans="1:10" x14ac:dyDescent="0.25">
      <c r="A38" s="134"/>
      <c r="B38" s="110"/>
      <c r="C38" s="38"/>
      <c r="D38" s="38"/>
      <c r="E38" s="131"/>
    </row>
    <row r="39" spans="1:10" x14ac:dyDescent="0.25">
      <c r="A39" s="135" t="s">
        <v>75</v>
      </c>
      <c r="B39" s="111" t="s">
        <v>32</v>
      </c>
      <c r="C39" s="111" t="s">
        <v>33</v>
      </c>
      <c r="D39" s="111" t="s">
        <v>79</v>
      </c>
      <c r="E39" s="136" t="s">
        <v>80</v>
      </c>
    </row>
    <row r="40" spans="1:10" x14ac:dyDescent="0.25">
      <c r="A40" s="132" t="s">
        <v>84</v>
      </c>
      <c r="B40" s="18">
        <v>0.15</v>
      </c>
      <c r="C40" s="18">
        <v>0.25</v>
      </c>
      <c r="D40" s="112">
        <f t="shared" ref="D40:E42" si="98">B40/12</f>
        <v>1.2499999999999999E-2</v>
      </c>
      <c r="E40" s="137">
        <f t="shared" si="98"/>
        <v>2.0833333333333332E-2</v>
      </c>
    </row>
    <row r="41" spans="1:10" x14ac:dyDescent="0.25">
      <c r="A41" s="132" t="s">
        <v>76</v>
      </c>
      <c r="B41" s="18">
        <v>0.05</v>
      </c>
      <c r="C41" s="18">
        <v>0.1</v>
      </c>
      <c r="D41" s="112">
        <f t="shared" si="98"/>
        <v>4.1666666666666666E-3</v>
      </c>
      <c r="E41" s="137">
        <f t="shared" si="98"/>
        <v>8.3333333333333332E-3</v>
      </c>
    </row>
    <row r="42" spans="1:10" x14ac:dyDescent="0.25">
      <c r="A42" s="132" t="s">
        <v>77</v>
      </c>
      <c r="B42" s="144">
        <v>2.5000000000000001E-2</v>
      </c>
      <c r="C42" s="18">
        <v>0.05</v>
      </c>
      <c r="D42" s="112">
        <f t="shared" si="98"/>
        <v>2.0833333333333333E-3</v>
      </c>
      <c r="E42" s="137">
        <f t="shared" si="98"/>
        <v>4.1666666666666666E-3</v>
      </c>
    </row>
    <row r="43" spans="1:10" ht="15.75" thickBot="1" x14ac:dyDescent="0.3">
      <c r="A43" s="138" t="s">
        <v>86</v>
      </c>
      <c r="B43" s="141" t="s">
        <v>89</v>
      </c>
      <c r="C43" s="145">
        <v>0.05</v>
      </c>
      <c r="D43" s="141" t="s">
        <v>89</v>
      </c>
      <c r="E43" s="139">
        <f>C43/12</f>
        <v>4.1666666666666666E-3</v>
      </c>
    </row>
  </sheetData>
  <mergeCells count="4">
    <mergeCell ref="A1:O1"/>
    <mergeCell ref="P1:AC1"/>
    <mergeCell ref="AD1:AQ1"/>
    <mergeCell ref="A30:E30"/>
  </mergeCells>
  <pageMargins left="0.7" right="0.7" top="0.75" bottom="0.75" header="0.3" footer="0.3"/>
  <ignoredErrors>
    <ignoredError sqref="D4:N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B409-1F33-4FC8-B8EC-58B0FD9FBC3A}">
  <dimension ref="A1:AR36"/>
  <sheetViews>
    <sheetView tabSelected="1" workbookViewId="0"/>
  </sheetViews>
  <sheetFormatPr baseColWidth="10" defaultRowHeight="15" x14ac:dyDescent="0.25"/>
  <cols>
    <col min="1" max="1" width="37.140625" bestFit="1" customWidth="1"/>
    <col min="2" max="2" width="8" customWidth="1"/>
    <col min="3" max="3" width="16.28515625" customWidth="1"/>
    <col min="4" max="4" width="15.85546875" customWidth="1"/>
    <col min="5" max="5" width="15.140625" customWidth="1"/>
    <col min="6" max="18" width="11.42578125" customWidth="1"/>
    <col min="19" max="19" width="17.28515625" customWidth="1"/>
    <col min="20" max="31" width="11.42578125" customWidth="1"/>
  </cols>
  <sheetData>
    <row r="1" spans="1:44" ht="21" x14ac:dyDescent="0.35">
      <c r="A1" s="95"/>
      <c r="B1" s="99"/>
      <c r="C1" s="96"/>
      <c r="D1" s="97"/>
      <c r="E1" s="98"/>
      <c r="F1" s="239" t="s">
        <v>70</v>
      </c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90"/>
      <c r="S1" s="235" t="s">
        <v>71</v>
      </c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7" t="s">
        <v>104</v>
      </c>
      <c r="AG1" s="238"/>
      <c r="AH1" s="238"/>
      <c r="AI1" s="238"/>
      <c r="AJ1" s="238"/>
      <c r="AK1" s="238"/>
      <c r="AL1" s="238"/>
      <c r="AM1" s="238"/>
      <c r="AN1" s="238"/>
      <c r="AO1" s="238"/>
      <c r="AP1" s="238"/>
      <c r="AQ1" s="238"/>
      <c r="AR1" s="238"/>
    </row>
    <row r="2" spans="1:44" x14ac:dyDescent="0.25">
      <c r="A2" s="94" t="s">
        <v>0</v>
      </c>
      <c r="B2" s="94"/>
      <c r="C2" s="105" t="s">
        <v>13</v>
      </c>
      <c r="D2" s="105" t="s">
        <v>43</v>
      </c>
      <c r="E2" s="105" t="s">
        <v>44</v>
      </c>
      <c r="F2" s="50" t="s">
        <v>1</v>
      </c>
      <c r="G2" s="51" t="s">
        <v>2</v>
      </c>
      <c r="H2" s="51" t="s">
        <v>3</v>
      </c>
      <c r="I2" s="51" t="s">
        <v>4</v>
      </c>
      <c r="J2" s="51" t="s">
        <v>5</v>
      </c>
      <c r="K2" s="51" t="s">
        <v>6</v>
      </c>
      <c r="L2" s="51" t="s">
        <v>7</v>
      </c>
      <c r="M2" s="51" t="s">
        <v>8</v>
      </c>
      <c r="N2" s="51" t="s">
        <v>9</v>
      </c>
      <c r="O2" s="51" t="s">
        <v>10</v>
      </c>
      <c r="P2" s="51" t="s">
        <v>11</v>
      </c>
      <c r="Q2" s="51" t="s">
        <v>12</v>
      </c>
      <c r="R2" s="52" t="s">
        <v>13</v>
      </c>
      <c r="S2" s="50" t="s">
        <v>1</v>
      </c>
      <c r="T2" s="51" t="s">
        <v>2</v>
      </c>
      <c r="U2" s="51" t="s">
        <v>3</v>
      </c>
      <c r="V2" s="51" t="s">
        <v>4</v>
      </c>
      <c r="W2" s="51" t="s">
        <v>5</v>
      </c>
      <c r="X2" s="51" t="s">
        <v>6</v>
      </c>
      <c r="Y2" s="51" t="s">
        <v>7</v>
      </c>
      <c r="Z2" s="51" t="s">
        <v>8</v>
      </c>
      <c r="AA2" s="51" t="s">
        <v>9</v>
      </c>
      <c r="AB2" s="51" t="s">
        <v>10</v>
      </c>
      <c r="AC2" s="51" t="s">
        <v>11</v>
      </c>
      <c r="AD2" s="51" t="s">
        <v>12</v>
      </c>
      <c r="AE2" s="52" t="s">
        <v>43</v>
      </c>
      <c r="AF2" s="50" t="s">
        <v>1</v>
      </c>
      <c r="AG2" s="51" t="s">
        <v>2</v>
      </c>
      <c r="AH2" s="51" t="s">
        <v>3</v>
      </c>
      <c r="AI2" s="51" t="s">
        <v>4</v>
      </c>
      <c r="AJ2" s="51" t="s">
        <v>5</v>
      </c>
      <c r="AK2" s="51" t="s">
        <v>6</v>
      </c>
      <c r="AL2" s="51" t="s">
        <v>7</v>
      </c>
      <c r="AM2" s="51" t="s">
        <v>8</v>
      </c>
      <c r="AN2" s="51" t="s">
        <v>9</v>
      </c>
      <c r="AO2" s="51" t="s">
        <v>10</v>
      </c>
      <c r="AP2" s="51" t="s">
        <v>11</v>
      </c>
      <c r="AQ2" s="51" t="s">
        <v>12</v>
      </c>
      <c r="AR2" s="52" t="s">
        <v>44</v>
      </c>
    </row>
    <row r="3" spans="1:44" x14ac:dyDescent="0.25">
      <c r="A3" s="100" t="s">
        <v>34</v>
      </c>
      <c r="B3" s="100"/>
      <c r="C3" s="100"/>
      <c r="D3" s="100"/>
      <c r="E3" s="100"/>
      <c r="F3" s="58"/>
      <c r="G3" s="59"/>
      <c r="H3" s="59"/>
      <c r="I3" s="59"/>
      <c r="J3" s="59"/>
      <c r="K3" s="59"/>
      <c r="L3" s="59"/>
      <c r="M3" s="59"/>
      <c r="N3" s="59"/>
      <c r="O3" s="59"/>
      <c r="P3" s="59"/>
      <c r="Q3" s="60"/>
      <c r="R3" s="91"/>
      <c r="S3" s="58"/>
      <c r="T3" s="59"/>
      <c r="U3" s="59"/>
      <c r="V3" s="59"/>
      <c r="W3" s="59"/>
      <c r="X3" s="59"/>
      <c r="Y3" s="59"/>
      <c r="Z3" s="59"/>
      <c r="AA3" s="59"/>
      <c r="AB3" s="59"/>
      <c r="AC3" s="59"/>
      <c r="AD3" s="60"/>
      <c r="AE3" s="91"/>
      <c r="AF3" s="58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60"/>
      <c r="AR3" s="91"/>
    </row>
    <row r="4" spans="1:44" x14ac:dyDescent="0.25">
      <c r="A4" s="54" t="s">
        <v>63</v>
      </c>
      <c r="B4" s="54"/>
      <c r="C4" s="61">
        <f t="shared" ref="C4:C12" si="0">R4</f>
        <v>378.7</v>
      </c>
      <c r="D4" s="61">
        <f t="shared" ref="D4:D12" si="1">AE4</f>
        <v>520</v>
      </c>
      <c r="E4" s="61">
        <f t="shared" ref="E4:E12" si="2">AR4</f>
        <v>696</v>
      </c>
      <c r="F4" s="215">
        <f>SUM(F5:F9)</f>
        <v>30.900000000000002</v>
      </c>
      <c r="G4" s="216">
        <f t="shared" ref="G4:Q4" si="3">SUM(G5:G9)</f>
        <v>30.900000000000002</v>
      </c>
      <c r="H4" s="216">
        <f t="shared" si="3"/>
        <v>30.900000000000002</v>
      </c>
      <c r="I4" s="216">
        <f t="shared" si="3"/>
        <v>30.900000000000002</v>
      </c>
      <c r="J4" s="216">
        <f t="shared" si="3"/>
        <v>30.900000000000002</v>
      </c>
      <c r="K4" s="216">
        <f t="shared" si="3"/>
        <v>30.900000000000002</v>
      </c>
      <c r="L4" s="216">
        <f t="shared" si="3"/>
        <v>30.900000000000002</v>
      </c>
      <c r="M4" s="216">
        <f t="shared" si="3"/>
        <v>30.900000000000002</v>
      </c>
      <c r="N4" s="216">
        <f t="shared" si="3"/>
        <v>30.900000000000002</v>
      </c>
      <c r="O4" s="216">
        <f t="shared" si="3"/>
        <v>30.900000000000002</v>
      </c>
      <c r="P4" s="216">
        <f t="shared" si="3"/>
        <v>30.900000000000002</v>
      </c>
      <c r="Q4" s="217">
        <f t="shared" si="3"/>
        <v>38.799999999999997</v>
      </c>
      <c r="R4" s="169">
        <f t="shared" ref="R4:R10" si="4">SUM(F4:Q4)</f>
        <v>378.7</v>
      </c>
      <c r="S4" s="215">
        <f>SUM(S5:S9)</f>
        <v>41.5</v>
      </c>
      <c r="T4" s="216">
        <f t="shared" ref="T4" si="5">SUM(T5:T9)</f>
        <v>41.5</v>
      </c>
      <c r="U4" s="216">
        <f t="shared" ref="U4" si="6">SUM(U5:U9)</f>
        <v>41.5</v>
      </c>
      <c r="V4" s="216">
        <f t="shared" ref="V4" si="7">SUM(V5:V9)</f>
        <v>41.5</v>
      </c>
      <c r="W4" s="216">
        <f t="shared" ref="W4" si="8">SUM(W5:W9)</f>
        <v>42.5</v>
      </c>
      <c r="X4" s="216">
        <f t="shared" ref="X4" si="9">SUM(X5:X9)</f>
        <v>42.5</v>
      </c>
      <c r="Y4" s="216">
        <f t="shared" ref="Y4" si="10">SUM(Y5:Y9)</f>
        <v>43.5</v>
      </c>
      <c r="Z4" s="216">
        <f t="shared" ref="Z4" si="11">SUM(Z5:Z9)</f>
        <v>43.5</v>
      </c>
      <c r="AA4" s="216">
        <f t="shared" ref="AA4" si="12">SUM(AA5:AA9)</f>
        <v>43.5</v>
      </c>
      <c r="AB4" s="216">
        <f t="shared" ref="AB4" si="13">SUM(AB5:AB9)</f>
        <v>43.5</v>
      </c>
      <c r="AC4" s="216">
        <f t="shared" ref="AC4" si="14">SUM(AC5:AC9)</f>
        <v>43.5</v>
      </c>
      <c r="AD4" s="217">
        <f t="shared" ref="AD4" si="15">SUM(AD5:AD9)</f>
        <v>51.5</v>
      </c>
      <c r="AE4" s="169">
        <f t="shared" ref="AE4:AE10" si="16">SUM(S4:AD4)</f>
        <v>520</v>
      </c>
      <c r="AF4" s="215">
        <f>SUM(AF5:AF9)</f>
        <v>53.5</v>
      </c>
      <c r="AG4" s="216">
        <f t="shared" ref="AG4" si="17">SUM(AG5:AG9)</f>
        <v>53.5</v>
      </c>
      <c r="AH4" s="216">
        <f t="shared" ref="AH4" si="18">SUM(AH5:AH9)</f>
        <v>53.5</v>
      </c>
      <c r="AI4" s="216">
        <f t="shared" ref="AI4" si="19">SUM(AI5:AI9)</f>
        <v>53.5</v>
      </c>
      <c r="AJ4" s="216">
        <f t="shared" ref="AJ4" si="20">SUM(AJ5:AJ9)</f>
        <v>53.5</v>
      </c>
      <c r="AK4" s="216">
        <f t="shared" ref="AK4" si="21">SUM(AK5:AK9)</f>
        <v>53.5</v>
      </c>
      <c r="AL4" s="216">
        <f t="shared" ref="AL4" si="22">SUM(AL5:AL9)</f>
        <v>62.5</v>
      </c>
      <c r="AM4" s="216">
        <f t="shared" ref="AM4" si="23">SUM(AM5:AM9)</f>
        <v>62.5</v>
      </c>
      <c r="AN4" s="216">
        <f t="shared" ref="AN4" si="24">SUM(AN5:AN9)</f>
        <v>62.5</v>
      </c>
      <c r="AO4" s="216">
        <f t="shared" ref="AO4" si="25">SUM(AO5:AO9)</f>
        <v>62.5</v>
      </c>
      <c r="AP4" s="216">
        <f t="shared" ref="AP4" si="26">SUM(AP5:AP9)</f>
        <v>62.5</v>
      </c>
      <c r="AQ4" s="217">
        <f t="shared" ref="AQ4" si="27">SUM(AQ5:AQ9)</f>
        <v>62.5</v>
      </c>
      <c r="AR4" s="212">
        <f t="shared" ref="AR4:AR11" si="28">SUM(AF4:AQ4)</f>
        <v>696</v>
      </c>
    </row>
    <row r="5" spans="1:44" x14ac:dyDescent="0.25">
      <c r="A5" s="55" t="s">
        <v>61</v>
      </c>
      <c r="B5" s="55"/>
      <c r="C5" s="92">
        <f t="shared" si="0"/>
        <v>120</v>
      </c>
      <c r="D5" s="92">
        <f t="shared" si="1"/>
        <v>138</v>
      </c>
      <c r="E5" s="92">
        <f t="shared" si="2"/>
        <v>138</v>
      </c>
      <c r="F5" s="106">
        <v>10</v>
      </c>
      <c r="G5" s="107">
        <v>10</v>
      </c>
      <c r="H5" s="107">
        <v>10</v>
      </c>
      <c r="I5" s="107">
        <v>10</v>
      </c>
      <c r="J5" s="107">
        <v>10</v>
      </c>
      <c r="K5" s="107">
        <v>10</v>
      </c>
      <c r="L5" s="107">
        <v>10</v>
      </c>
      <c r="M5" s="107">
        <v>10</v>
      </c>
      <c r="N5" s="107">
        <v>10</v>
      </c>
      <c r="O5" s="107">
        <v>10</v>
      </c>
      <c r="P5" s="107">
        <v>10</v>
      </c>
      <c r="Q5" s="160">
        <v>10</v>
      </c>
      <c r="R5" s="218">
        <f t="shared" si="4"/>
        <v>120</v>
      </c>
      <c r="S5" s="106">
        <v>11.5</v>
      </c>
      <c r="T5" s="107">
        <v>11.5</v>
      </c>
      <c r="U5" s="107">
        <v>11.5</v>
      </c>
      <c r="V5" s="107">
        <v>11.5</v>
      </c>
      <c r="W5" s="107">
        <v>11.5</v>
      </c>
      <c r="X5" s="107">
        <v>11.5</v>
      </c>
      <c r="Y5" s="107">
        <v>11.5</v>
      </c>
      <c r="Z5" s="107">
        <v>11.5</v>
      </c>
      <c r="AA5" s="107">
        <v>11.5</v>
      </c>
      <c r="AB5" s="107">
        <v>11.5</v>
      </c>
      <c r="AC5" s="107">
        <v>11.5</v>
      </c>
      <c r="AD5" s="160">
        <v>11.5</v>
      </c>
      <c r="AE5" s="218">
        <f t="shared" si="16"/>
        <v>138</v>
      </c>
      <c r="AF5" s="106">
        <v>11.5</v>
      </c>
      <c r="AG5" s="107">
        <v>11.5</v>
      </c>
      <c r="AH5" s="107">
        <v>11.5</v>
      </c>
      <c r="AI5" s="107">
        <v>11.5</v>
      </c>
      <c r="AJ5" s="107">
        <v>11.5</v>
      </c>
      <c r="AK5" s="107">
        <v>11.5</v>
      </c>
      <c r="AL5" s="107">
        <v>11.5</v>
      </c>
      <c r="AM5" s="107">
        <v>11.5</v>
      </c>
      <c r="AN5" s="107">
        <v>11.5</v>
      </c>
      <c r="AO5" s="107">
        <v>11.5</v>
      </c>
      <c r="AP5" s="107">
        <v>11.5</v>
      </c>
      <c r="AQ5" s="160">
        <v>11.5</v>
      </c>
      <c r="AR5" s="213">
        <f t="shared" si="28"/>
        <v>138</v>
      </c>
    </row>
    <row r="6" spans="1:44" x14ac:dyDescent="0.25">
      <c r="A6" s="55" t="s">
        <v>58</v>
      </c>
      <c r="B6" s="55"/>
      <c r="C6" s="92">
        <f t="shared" si="0"/>
        <v>237.60000000000005</v>
      </c>
      <c r="D6" s="92">
        <f t="shared" si="1"/>
        <v>252</v>
      </c>
      <c r="E6" s="92">
        <f t="shared" si="2"/>
        <v>276</v>
      </c>
      <c r="F6" s="106">
        <v>19.8</v>
      </c>
      <c r="G6" s="107">
        <v>19.8</v>
      </c>
      <c r="H6" s="107">
        <v>19.8</v>
      </c>
      <c r="I6" s="107">
        <v>19.8</v>
      </c>
      <c r="J6" s="107">
        <v>19.8</v>
      </c>
      <c r="K6" s="107">
        <v>19.8</v>
      </c>
      <c r="L6" s="107">
        <v>19.8</v>
      </c>
      <c r="M6" s="107">
        <v>19.8</v>
      </c>
      <c r="N6" s="107">
        <v>19.8</v>
      </c>
      <c r="O6" s="107">
        <v>19.8</v>
      </c>
      <c r="P6" s="107">
        <v>19.8</v>
      </c>
      <c r="Q6" s="160">
        <v>19.8</v>
      </c>
      <c r="R6" s="218">
        <f t="shared" si="4"/>
        <v>237.60000000000005</v>
      </c>
      <c r="S6" s="106">
        <v>21</v>
      </c>
      <c r="T6" s="107">
        <v>21</v>
      </c>
      <c r="U6" s="107">
        <v>21</v>
      </c>
      <c r="V6" s="107">
        <v>21</v>
      </c>
      <c r="W6" s="107">
        <v>21</v>
      </c>
      <c r="X6" s="107">
        <v>21</v>
      </c>
      <c r="Y6" s="107">
        <v>21</v>
      </c>
      <c r="Z6" s="107">
        <v>21</v>
      </c>
      <c r="AA6" s="107">
        <v>21</v>
      </c>
      <c r="AB6" s="107">
        <v>21</v>
      </c>
      <c r="AC6" s="107">
        <v>21</v>
      </c>
      <c r="AD6" s="160">
        <v>21</v>
      </c>
      <c r="AE6" s="218">
        <f t="shared" si="16"/>
        <v>252</v>
      </c>
      <c r="AF6" s="106">
        <v>23</v>
      </c>
      <c r="AG6" s="107">
        <v>23</v>
      </c>
      <c r="AH6" s="107">
        <v>23</v>
      </c>
      <c r="AI6" s="107">
        <v>23</v>
      </c>
      <c r="AJ6" s="107">
        <v>23</v>
      </c>
      <c r="AK6" s="107">
        <v>23</v>
      </c>
      <c r="AL6" s="107">
        <v>23</v>
      </c>
      <c r="AM6" s="107">
        <v>23</v>
      </c>
      <c r="AN6" s="107">
        <v>23</v>
      </c>
      <c r="AO6" s="107">
        <v>23</v>
      </c>
      <c r="AP6" s="107">
        <v>23</v>
      </c>
      <c r="AQ6" s="160">
        <v>23</v>
      </c>
      <c r="AR6" s="213">
        <f t="shared" si="28"/>
        <v>276</v>
      </c>
    </row>
    <row r="7" spans="1:44" x14ac:dyDescent="0.25">
      <c r="A7" s="55" t="s">
        <v>57</v>
      </c>
      <c r="B7" s="55"/>
      <c r="C7" s="92">
        <f t="shared" si="0"/>
        <v>14.099999999999998</v>
      </c>
      <c r="D7" s="92">
        <f t="shared" si="1"/>
        <v>33</v>
      </c>
      <c r="E7" s="92">
        <f t="shared" si="2"/>
        <v>60</v>
      </c>
      <c r="F7" s="106">
        <v>1.1000000000000001</v>
      </c>
      <c r="G7" s="107">
        <v>1.1000000000000001</v>
      </c>
      <c r="H7" s="107">
        <v>1.1000000000000001</v>
      </c>
      <c r="I7" s="107">
        <v>1.1000000000000001</v>
      </c>
      <c r="J7" s="107">
        <v>1.1000000000000001</v>
      </c>
      <c r="K7" s="107">
        <v>1.1000000000000001</v>
      </c>
      <c r="L7" s="107">
        <v>1.1000000000000001</v>
      </c>
      <c r="M7" s="107">
        <v>1.1000000000000001</v>
      </c>
      <c r="N7" s="107">
        <v>1.1000000000000001</v>
      </c>
      <c r="O7" s="107">
        <v>1.1000000000000001</v>
      </c>
      <c r="P7" s="107">
        <v>1.1000000000000001</v>
      </c>
      <c r="Q7" s="160">
        <v>2</v>
      </c>
      <c r="R7" s="218">
        <f t="shared" si="4"/>
        <v>14.099999999999998</v>
      </c>
      <c r="S7" s="106">
        <v>2</v>
      </c>
      <c r="T7" s="107">
        <v>2</v>
      </c>
      <c r="U7" s="107">
        <v>2</v>
      </c>
      <c r="V7" s="107">
        <v>2</v>
      </c>
      <c r="W7" s="107">
        <v>3</v>
      </c>
      <c r="X7" s="107">
        <v>3</v>
      </c>
      <c r="Y7" s="107">
        <v>3</v>
      </c>
      <c r="Z7" s="107">
        <v>3</v>
      </c>
      <c r="AA7" s="107">
        <v>3</v>
      </c>
      <c r="AB7" s="107">
        <v>3</v>
      </c>
      <c r="AC7" s="107">
        <v>3</v>
      </c>
      <c r="AD7" s="160">
        <v>4</v>
      </c>
      <c r="AE7" s="218">
        <f t="shared" si="16"/>
        <v>33</v>
      </c>
      <c r="AF7" s="106">
        <v>4</v>
      </c>
      <c r="AG7" s="107">
        <v>4</v>
      </c>
      <c r="AH7" s="107">
        <v>4</v>
      </c>
      <c r="AI7" s="107">
        <v>4</v>
      </c>
      <c r="AJ7" s="107">
        <v>4</v>
      </c>
      <c r="AK7" s="107">
        <v>4</v>
      </c>
      <c r="AL7" s="107">
        <v>6</v>
      </c>
      <c r="AM7" s="107">
        <v>6</v>
      </c>
      <c r="AN7" s="107">
        <v>6</v>
      </c>
      <c r="AO7" s="107">
        <v>6</v>
      </c>
      <c r="AP7" s="107">
        <v>6</v>
      </c>
      <c r="AQ7" s="160">
        <v>6</v>
      </c>
      <c r="AR7" s="213">
        <f t="shared" si="28"/>
        <v>60</v>
      </c>
    </row>
    <row r="8" spans="1:44" x14ac:dyDescent="0.25">
      <c r="A8" s="55" t="s">
        <v>59</v>
      </c>
      <c r="B8" s="55"/>
      <c r="C8" s="92">
        <f t="shared" si="0"/>
        <v>5</v>
      </c>
      <c r="D8" s="92">
        <f t="shared" si="1"/>
        <v>66</v>
      </c>
      <c r="E8" s="92">
        <f t="shared" si="2"/>
        <v>162</v>
      </c>
      <c r="F8" s="106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60">
        <v>5</v>
      </c>
      <c r="R8" s="218">
        <f t="shared" si="4"/>
        <v>5</v>
      </c>
      <c r="S8" s="106">
        <v>5</v>
      </c>
      <c r="T8" s="107">
        <v>5</v>
      </c>
      <c r="U8" s="107">
        <v>5</v>
      </c>
      <c r="V8" s="107">
        <v>5</v>
      </c>
      <c r="W8" s="107">
        <v>5</v>
      </c>
      <c r="X8" s="107">
        <v>5</v>
      </c>
      <c r="Y8" s="107">
        <v>5</v>
      </c>
      <c r="Z8" s="107">
        <v>5</v>
      </c>
      <c r="AA8" s="107">
        <v>5</v>
      </c>
      <c r="AB8" s="107">
        <v>5</v>
      </c>
      <c r="AC8" s="107">
        <v>5</v>
      </c>
      <c r="AD8" s="160">
        <v>11</v>
      </c>
      <c r="AE8" s="218">
        <f t="shared" si="16"/>
        <v>66</v>
      </c>
      <c r="AF8" s="106">
        <v>11</v>
      </c>
      <c r="AG8" s="107">
        <v>11</v>
      </c>
      <c r="AH8" s="107">
        <v>11</v>
      </c>
      <c r="AI8" s="107">
        <v>11</v>
      </c>
      <c r="AJ8" s="107">
        <v>11</v>
      </c>
      <c r="AK8" s="107">
        <v>11</v>
      </c>
      <c r="AL8" s="107">
        <v>16</v>
      </c>
      <c r="AM8" s="107">
        <v>16</v>
      </c>
      <c r="AN8" s="107">
        <v>16</v>
      </c>
      <c r="AO8" s="107">
        <v>16</v>
      </c>
      <c r="AP8" s="107">
        <v>16</v>
      </c>
      <c r="AQ8" s="160">
        <v>16</v>
      </c>
      <c r="AR8" s="213">
        <f t="shared" si="28"/>
        <v>162</v>
      </c>
    </row>
    <row r="9" spans="1:44" x14ac:dyDescent="0.25">
      <c r="A9" s="55" t="s">
        <v>65</v>
      </c>
      <c r="B9" s="55"/>
      <c r="C9" s="92">
        <f t="shared" si="0"/>
        <v>2</v>
      </c>
      <c r="D9" s="92">
        <f t="shared" si="1"/>
        <v>31</v>
      </c>
      <c r="E9" s="92">
        <f t="shared" si="2"/>
        <v>60</v>
      </c>
      <c r="F9" s="106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60">
        <v>2</v>
      </c>
      <c r="R9" s="218">
        <f t="shared" si="4"/>
        <v>2</v>
      </c>
      <c r="S9" s="106">
        <v>2</v>
      </c>
      <c r="T9" s="107">
        <v>2</v>
      </c>
      <c r="U9" s="107">
        <v>2</v>
      </c>
      <c r="V9" s="107">
        <v>2</v>
      </c>
      <c r="W9" s="107">
        <v>2</v>
      </c>
      <c r="X9" s="107">
        <v>2</v>
      </c>
      <c r="Y9" s="107">
        <v>3</v>
      </c>
      <c r="Z9" s="107">
        <v>3</v>
      </c>
      <c r="AA9" s="107">
        <v>3</v>
      </c>
      <c r="AB9" s="107">
        <v>3</v>
      </c>
      <c r="AC9" s="107">
        <v>3</v>
      </c>
      <c r="AD9" s="160">
        <v>4</v>
      </c>
      <c r="AE9" s="218">
        <f t="shared" si="16"/>
        <v>31</v>
      </c>
      <c r="AF9" s="106">
        <v>4</v>
      </c>
      <c r="AG9" s="107">
        <v>4</v>
      </c>
      <c r="AH9" s="107">
        <v>4</v>
      </c>
      <c r="AI9" s="107">
        <v>4</v>
      </c>
      <c r="AJ9" s="107">
        <v>4</v>
      </c>
      <c r="AK9" s="107">
        <v>4</v>
      </c>
      <c r="AL9" s="107">
        <v>6</v>
      </c>
      <c r="AM9" s="107">
        <v>6</v>
      </c>
      <c r="AN9" s="107">
        <v>6</v>
      </c>
      <c r="AO9" s="107">
        <v>6</v>
      </c>
      <c r="AP9" s="107">
        <v>6</v>
      </c>
      <c r="AQ9" s="160">
        <v>6</v>
      </c>
      <c r="AR9" s="213">
        <f t="shared" si="28"/>
        <v>60</v>
      </c>
    </row>
    <row r="10" spans="1:44" x14ac:dyDescent="0.25">
      <c r="A10" s="56" t="s">
        <v>60</v>
      </c>
      <c r="B10" s="69">
        <v>0.23</v>
      </c>
      <c r="C10" s="61">
        <f t="shared" si="0"/>
        <v>87.100999999999999</v>
      </c>
      <c r="D10" s="61">
        <f t="shared" si="1"/>
        <v>119.59999999999998</v>
      </c>
      <c r="E10" s="61">
        <f t="shared" si="2"/>
        <v>160.07999999999998</v>
      </c>
      <c r="F10" s="62">
        <f t="shared" ref="F10:Q10" si="29">F4*$B$10</f>
        <v>7.1070000000000011</v>
      </c>
      <c r="G10" s="9">
        <f t="shared" si="29"/>
        <v>7.1070000000000011</v>
      </c>
      <c r="H10" s="9">
        <f t="shared" si="29"/>
        <v>7.1070000000000011</v>
      </c>
      <c r="I10" s="9">
        <f t="shared" si="29"/>
        <v>7.1070000000000011</v>
      </c>
      <c r="J10" s="9">
        <f t="shared" si="29"/>
        <v>7.1070000000000011</v>
      </c>
      <c r="K10" s="9">
        <f t="shared" si="29"/>
        <v>7.1070000000000011</v>
      </c>
      <c r="L10" s="9">
        <f t="shared" si="29"/>
        <v>7.1070000000000011</v>
      </c>
      <c r="M10" s="9">
        <f t="shared" si="29"/>
        <v>7.1070000000000011</v>
      </c>
      <c r="N10" s="9">
        <f t="shared" si="29"/>
        <v>7.1070000000000011</v>
      </c>
      <c r="O10" s="9">
        <f t="shared" si="29"/>
        <v>7.1070000000000011</v>
      </c>
      <c r="P10" s="9">
        <f t="shared" si="29"/>
        <v>7.1070000000000011</v>
      </c>
      <c r="Q10" s="63">
        <f t="shared" si="29"/>
        <v>8.9239999999999995</v>
      </c>
      <c r="R10" s="168">
        <f t="shared" si="4"/>
        <v>87.100999999999999</v>
      </c>
      <c r="S10" s="62">
        <f t="shared" ref="S10:AD10" si="30">S4*$B$10</f>
        <v>9.5449999999999999</v>
      </c>
      <c r="T10" s="9">
        <f t="shared" si="30"/>
        <v>9.5449999999999999</v>
      </c>
      <c r="U10" s="9">
        <f t="shared" si="30"/>
        <v>9.5449999999999999</v>
      </c>
      <c r="V10" s="9">
        <f t="shared" si="30"/>
        <v>9.5449999999999999</v>
      </c>
      <c r="W10" s="9">
        <f t="shared" si="30"/>
        <v>9.7750000000000004</v>
      </c>
      <c r="X10" s="9">
        <f t="shared" si="30"/>
        <v>9.7750000000000004</v>
      </c>
      <c r="Y10" s="9">
        <f t="shared" si="30"/>
        <v>10.005000000000001</v>
      </c>
      <c r="Z10" s="9">
        <f t="shared" si="30"/>
        <v>10.005000000000001</v>
      </c>
      <c r="AA10" s="9">
        <f t="shared" si="30"/>
        <v>10.005000000000001</v>
      </c>
      <c r="AB10" s="9">
        <f t="shared" si="30"/>
        <v>10.005000000000001</v>
      </c>
      <c r="AC10" s="9">
        <f t="shared" si="30"/>
        <v>10.005000000000001</v>
      </c>
      <c r="AD10" s="63">
        <f t="shared" si="30"/>
        <v>11.845000000000001</v>
      </c>
      <c r="AE10" s="168">
        <f t="shared" si="16"/>
        <v>119.59999999999998</v>
      </c>
      <c r="AF10" s="62">
        <f t="shared" ref="AF10:AQ10" si="31">AF4*$B$10</f>
        <v>12.305</v>
      </c>
      <c r="AG10" s="9">
        <f t="shared" si="31"/>
        <v>12.305</v>
      </c>
      <c r="AH10" s="9">
        <f t="shared" si="31"/>
        <v>12.305</v>
      </c>
      <c r="AI10" s="9">
        <f t="shared" si="31"/>
        <v>12.305</v>
      </c>
      <c r="AJ10" s="9">
        <f t="shared" si="31"/>
        <v>12.305</v>
      </c>
      <c r="AK10" s="9">
        <f t="shared" si="31"/>
        <v>12.305</v>
      </c>
      <c r="AL10" s="9">
        <f t="shared" si="31"/>
        <v>14.375</v>
      </c>
      <c r="AM10" s="9">
        <f t="shared" si="31"/>
        <v>14.375</v>
      </c>
      <c r="AN10" s="9">
        <f t="shared" si="31"/>
        <v>14.375</v>
      </c>
      <c r="AO10" s="9">
        <f t="shared" si="31"/>
        <v>14.375</v>
      </c>
      <c r="AP10" s="9">
        <f t="shared" si="31"/>
        <v>14.375</v>
      </c>
      <c r="AQ10" s="63">
        <f t="shared" si="31"/>
        <v>14.375</v>
      </c>
      <c r="AR10" s="214">
        <f t="shared" si="28"/>
        <v>160.07999999999998</v>
      </c>
    </row>
    <row r="11" spans="1:44" x14ac:dyDescent="0.25">
      <c r="A11" s="56" t="s">
        <v>36</v>
      </c>
      <c r="B11" s="56"/>
      <c r="C11" s="61">
        <f t="shared" si="0"/>
        <v>18</v>
      </c>
      <c r="D11" s="61">
        <f t="shared" si="1"/>
        <v>45</v>
      </c>
      <c r="E11" s="61">
        <f t="shared" si="2"/>
        <v>112.5</v>
      </c>
      <c r="F11" s="62">
        <v>1.5</v>
      </c>
      <c r="G11" s="9">
        <v>1.5</v>
      </c>
      <c r="H11" s="9">
        <v>1.5</v>
      </c>
      <c r="I11" s="9">
        <v>1.5</v>
      </c>
      <c r="J11" s="9">
        <v>1.5</v>
      </c>
      <c r="K11" s="9">
        <v>1.5</v>
      </c>
      <c r="L11" s="9">
        <v>1.5</v>
      </c>
      <c r="M11" s="9">
        <v>1.5</v>
      </c>
      <c r="N11" s="9">
        <v>1.5</v>
      </c>
      <c r="O11" s="9">
        <v>1.5</v>
      </c>
      <c r="P11" s="9">
        <v>1.5</v>
      </c>
      <c r="Q11" s="63">
        <v>1.5</v>
      </c>
      <c r="R11" s="168">
        <f t="shared" ref="R11:R16" si="32">SUM(F11:Q11)</f>
        <v>18</v>
      </c>
      <c r="S11" s="62">
        <v>2.5</v>
      </c>
      <c r="T11" s="9">
        <v>2.5</v>
      </c>
      <c r="U11" s="9">
        <v>2.5</v>
      </c>
      <c r="V11" s="9">
        <v>2.5</v>
      </c>
      <c r="W11" s="9">
        <v>2.5</v>
      </c>
      <c r="X11" s="9">
        <v>2.5</v>
      </c>
      <c r="Y11" s="9">
        <v>5</v>
      </c>
      <c r="Z11" s="9">
        <v>5</v>
      </c>
      <c r="AA11" s="9">
        <v>5</v>
      </c>
      <c r="AB11" s="9">
        <v>5</v>
      </c>
      <c r="AC11" s="9">
        <v>5</v>
      </c>
      <c r="AD11" s="63">
        <v>5</v>
      </c>
      <c r="AE11" s="168">
        <f t="shared" ref="AE11:AE12" si="33">SUM(S11:AD11)</f>
        <v>45</v>
      </c>
      <c r="AF11" s="62">
        <v>7.5</v>
      </c>
      <c r="AG11" s="9">
        <v>7.5</v>
      </c>
      <c r="AH11" s="9">
        <v>7.5</v>
      </c>
      <c r="AI11" s="9">
        <v>7.5</v>
      </c>
      <c r="AJ11" s="9">
        <v>7.5</v>
      </c>
      <c r="AK11" s="9">
        <v>7.5</v>
      </c>
      <c r="AL11" s="9">
        <v>10</v>
      </c>
      <c r="AM11" s="9">
        <v>10</v>
      </c>
      <c r="AN11" s="9">
        <v>10</v>
      </c>
      <c r="AO11" s="9">
        <v>12.5</v>
      </c>
      <c r="AP11" s="9">
        <v>12.5</v>
      </c>
      <c r="AQ11" s="63">
        <v>12.5</v>
      </c>
      <c r="AR11" s="214">
        <f t="shared" si="28"/>
        <v>112.5</v>
      </c>
    </row>
    <row r="12" spans="1:44" x14ac:dyDescent="0.25">
      <c r="A12" s="56" t="s">
        <v>91</v>
      </c>
      <c r="B12" s="56"/>
      <c r="C12" s="61">
        <f t="shared" si="0"/>
        <v>9.6</v>
      </c>
      <c r="D12" s="61">
        <f t="shared" si="1"/>
        <v>12</v>
      </c>
      <c r="E12" s="61">
        <f t="shared" si="2"/>
        <v>45</v>
      </c>
      <c r="F12" s="62">
        <v>0.8</v>
      </c>
      <c r="G12" s="9">
        <v>0.8</v>
      </c>
      <c r="H12" s="9">
        <v>0.8</v>
      </c>
      <c r="I12" s="9">
        <v>0.8</v>
      </c>
      <c r="J12" s="9">
        <v>0.8</v>
      </c>
      <c r="K12" s="9">
        <v>0.8</v>
      </c>
      <c r="L12" s="9">
        <v>0.8</v>
      </c>
      <c r="M12" s="9">
        <v>0.8</v>
      </c>
      <c r="N12" s="9">
        <v>0.8</v>
      </c>
      <c r="O12" s="9">
        <v>0.8</v>
      </c>
      <c r="P12" s="9">
        <v>0.8</v>
      </c>
      <c r="Q12" s="63">
        <v>0.8</v>
      </c>
      <c r="R12" s="168">
        <f t="shared" si="32"/>
        <v>9.6</v>
      </c>
      <c r="S12" s="62">
        <v>1</v>
      </c>
      <c r="T12" s="9">
        <v>1</v>
      </c>
      <c r="U12" s="9">
        <v>1</v>
      </c>
      <c r="V12" s="9">
        <v>1</v>
      </c>
      <c r="W12" s="9">
        <v>1</v>
      </c>
      <c r="X12" s="9">
        <v>1</v>
      </c>
      <c r="Y12" s="9">
        <v>1</v>
      </c>
      <c r="Z12" s="9">
        <v>1</v>
      </c>
      <c r="AA12" s="9">
        <v>1</v>
      </c>
      <c r="AB12" s="9">
        <v>1</v>
      </c>
      <c r="AC12" s="9">
        <v>1</v>
      </c>
      <c r="AD12" s="63">
        <v>1</v>
      </c>
      <c r="AE12" s="168">
        <f t="shared" si="33"/>
        <v>12</v>
      </c>
      <c r="AF12" s="62">
        <v>2.5</v>
      </c>
      <c r="AG12" s="9">
        <v>2.5</v>
      </c>
      <c r="AH12" s="9">
        <v>2.5</v>
      </c>
      <c r="AI12" s="9">
        <v>2.5</v>
      </c>
      <c r="AJ12" s="9">
        <v>2.5</v>
      </c>
      <c r="AK12" s="9">
        <v>2.5</v>
      </c>
      <c r="AL12" s="9">
        <v>5</v>
      </c>
      <c r="AM12" s="9">
        <v>5</v>
      </c>
      <c r="AN12" s="9">
        <v>5</v>
      </c>
      <c r="AO12" s="9">
        <v>5</v>
      </c>
      <c r="AP12" s="9">
        <v>5</v>
      </c>
      <c r="AQ12" s="63">
        <v>5</v>
      </c>
      <c r="AR12" s="214">
        <f t="shared" ref="AR12" si="34">SUM(AF12:AQ12)</f>
        <v>45</v>
      </c>
    </row>
    <row r="13" spans="1:44" x14ac:dyDescent="0.25">
      <c r="A13" s="56" t="s">
        <v>39</v>
      </c>
      <c r="B13" s="56"/>
      <c r="C13" s="61">
        <f>R13</f>
        <v>9.6</v>
      </c>
      <c r="D13" s="61">
        <f>AE13</f>
        <v>14.399999999999997</v>
      </c>
      <c r="E13" s="61">
        <f>AR13</f>
        <v>33</v>
      </c>
      <c r="F13" s="62">
        <v>0.8</v>
      </c>
      <c r="G13" s="9">
        <v>0.8</v>
      </c>
      <c r="H13" s="9">
        <v>0.8</v>
      </c>
      <c r="I13" s="9">
        <v>0.8</v>
      </c>
      <c r="J13" s="9">
        <v>0.8</v>
      </c>
      <c r="K13" s="9">
        <v>0.8</v>
      </c>
      <c r="L13" s="9">
        <v>0.8</v>
      </c>
      <c r="M13" s="9">
        <v>0.8</v>
      </c>
      <c r="N13" s="9">
        <v>0.8</v>
      </c>
      <c r="O13" s="9">
        <v>0.8</v>
      </c>
      <c r="P13" s="9">
        <v>0.8</v>
      </c>
      <c r="Q13" s="63">
        <v>0.8</v>
      </c>
      <c r="R13" s="168">
        <f t="shared" si="32"/>
        <v>9.6</v>
      </c>
      <c r="S13" s="62">
        <v>1.2</v>
      </c>
      <c r="T13" s="9">
        <v>1.2</v>
      </c>
      <c r="U13" s="9">
        <v>1.2</v>
      </c>
      <c r="V13" s="9">
        <v>1.2</v>
      </c>
      <c r="W13" s="9">
        <v>1.2</v>
      </c>
      <c r="X13" s="9">
        <v>1.2</v>
      </c>
      <c r="Y13" s="9">
        <v>1.2</v>
      </c>
      <c r="Z13" s="9">
        <v>1.2</v>
      </c>
      <c r="AA13" s="9">
        <v>1.2</v>
      </c>
      <c r="AB13" s="9">
        <v>1.2</v>
      </c>
      <c r="AC13" s="9">
        <v>1.2</v>
      </c>
      <c r="AD13" s="63">
        <v>1.2</v>
      </c>
      <c r="AE13" s="168">
        <f t="shared" ref="AE13:AE15" si="35">SUM(S13:AD13)</f>
        <v>14.399999999999997</v>
      </c>
      <c r="AF13" s="62">
        <v>2.5</v>
      </c>
      <c r="AG13" s="9">
        <v>2.5</v>
      </c>
      <c r="AH13" s="9">
        <v>2.5</v>
      </c>
      <c r="AI13" s="9">
        <v>2.5</v>
      </c>
      <c r="AJ13" s="9">
        <v>2.5</v>
      </c>
      <c r="AK13" s="9">
        <v>2.5</v>
      </c>
      <c r="AL13" s="9">
        <v>3</v>
      </c>
      <c r="AM13" s="9">
        <v>3</v>
      </c>
      <c r="AN13" s="9">
        <v>3</v>
      </c>
      <c r="AO13" s="9">
        <v>3</v>
      </c>
      <c r="AP13" s="9">
        <v>3</v>
      </c>
      <c r="AQ13" s="63">
        <v>3</v>
      </c>
      <c r="AR13" s="214">
        <f t="shared" ref="AR13:AR15" si="36">SUM(AF13:AQ13)</f>
        <v>33</v>
      </c>
    </row>
    <row r="14" spans="1:44" x14ac:dyDescent="0.25">
      <c r="A14" s="56" t="s">
        <v>64</v>
      </c>
      <c r="B14" s="56"/>
      <c r="C14" s="61">
        <f>R14</f>
        <v>21</v>
      </c>
      <c r="D14" s="61">
        <f>AE14</f>
        <v>80</v>
      </c>
      <c r="E14" s="61">
        <f>AR14</f>
        <v>227.5</v>
      </c>
      <c r="F14" s="62">
        <v>1.5</v>
      </c>
      <c r="G14" s="9">
        <v>1.5</v>
      </c>
      <c r="H14" s="9">
        <v>1.5</v>
      </c>
      <c r="I14" s="9">
        <v>1.5</v>
      </c>
      <c r="J14" s="9">
        <v>1.5</v>
      </c>
      <c r="K14" s="9">
        <v>1.5</v>
      </c>
      <c r="L14" s="9">
        <v>1.5</v>
      </c>
      <c r="M14" s="9">
        <v>1.5</v>
      </c>
      <c r="N14" s="9">
        <v>1.5</v>
      </c>
      <c r="O14" s="9">
        <v>1.5</v>
      </c>
      <c r="P14" s="9">
        <v>3</v>
      </c>
      <c r="Q14" s="63">
        <v>3</v>
      </c>
      <c r="R14" s="168">
        <f t="shared" si="32"/>
        <v>21</v>
      </c>
      <c r="S14" s="62">
        <v>5</v>
      </c>
      <c r="T14" s="9">
        <v>5</v>
      </c>
      <c r="U14" s="9">
        <v>5</v>
      </c>
      <c r="V14" s="9">
        <v>5</v>
      </c>
      <c r="W14" s="9">
        <v>5</v>
      </c>
      <c r="X14" s="9">
        <v>5</v>
      </c>
      <c r="Y14" s="9">
        <v>7.5</v>
      </c>
      <c r="Z14" s="9">
        <v>7.5</v>
      </c>
      <c r="AA14" s="9">
        <v>7.5</v>
      </c>
      <c r="AB14" s="9">
        <v>7.5</v>
      </c>
      <c r="AC14" s="9">
        <v>10</v>
      </c>
      <c r="AD14" s="63">
        <v>10</v>
      </c>
      <c r="AE14" s="168">
        <f t="shared" si="35"/>
        <v>80</v>
      </c>
      <c r="AF14" s="62">
        <v>12.5</v>
      </c>
      <c r="AG14" s="9">
        <v>15</v>
      </c>
      <c r="AH14" s="9">
        <v>20</v>
      </c>
      <c r="AI14" s="9">
        <v>20</v>
      </c>
      <c r="AJ14" s="9">
        <v>20</v>
      </c>
      <c r="AK14" s="9">
        <v>20</v>
      </c>
      <c r="AL14" s="9">
        <v>20</v>
      </c>
      <c r="AM14" s="9">
        <v>20</v>
      </c>
      <c r="AN14" s="9">
        <v>20</v>
      </c>
      <c r="AO14" s="9">
        <v>20</v>
      </c>
      <c r="AP14" s="9">
        <v>20</v>
      </c>
      <c r="AQ14" s="63">
        <v>20</v>
      </c>
      <c r="AR14" s="214">
        <f t="shared" si="36"/>
        <v>227.5</v>
      </c>
    </row>
    <row r="15" spans="1:44" x14ac:dyDescent="0.25">
      <c r="A15" s="56" t="s">
        <v>40</v>
      </c>
      <c r="B15" s="56"/>
      <c r="C15" s="61">
        <f>R15</f>
        <v>300</v>
      </c>
      <c r="D15" s="61">
        <f>AE15</f>
        <v>225</v>
      </c>
      <c r="E15" s="61">
        <f>AR15</f>
        <v>330</v>
      </c>
      <c r="F15" s="62">
        <v>25</v>
      </c>
      <c r="G15" s="9">
        <v>25</v>
      </c>
      <c r="H15" s="9">
        <v>25</v>
      </c>
      <c r="I15" s="9">
        <v>25</v>
      </c>
      <c r="J15" s="9">
        <v>25</v>
      </c>
      <c r="K15" s="9">
        <v>25</v>
      </c>
      <c r="L15" s="9">
        <v>25</v>
      </c>
      <c r="M15" s="9">
        <v>25</v>
      </c>
      <c r="N15" s="9">
        <v>25</v>
      </c>
      <c r="O15" s="9">
        <v>25</v>
      </c>
      <c r="P15" s="9">
        <v>25</v>
      </c>
      <c r="Q15" s="63">
        <v>25</v>
      </c>
      <c r="R15" s="168">
        <f t="shared" si="32"/>
        <v>300</v>
      </c>
      <c r="S15" s="62">
        <v>17.5</v>
      </c>
      <c r="T15" s="9">
        <v>17.5</v>
      </c>
      <c r="U15" s="9">
        <v>17.5</v>
      </c>
      <c r="V15" s="9">
        <v>17.5</v>
      </c>
      <c r="W15" s="9">
        <v>17.5</v>
      </c>
      <c r="X15" s="9">
        <v>17.5</v>
      </c>
      <c r="Y15" s="9">
        <v>20</v>
      </c>
      <c r="Z15" s="9">
        <v>20</v>
      </c>
      <c r="AA15" s="9">
        <v>20</v>
      </c>
      <c r="AB15" s="9">
        <v>20</v>
      </c>
      <c r="AC15" s="9">
        <v>20</v>
      </c>
      <c r="AD15" s="63">
        <v>20</v>
      </c>
      <c r="AE15" s="168">
        <f t="shared" si="35"/>
        <v>225</v>
      </c>
      <c r="AF15" s="62">
        <v>25</v>
      </c>
      <c r="AG15" s="9">
        <v>25</v>
      </c>
      <c r="AH15" s="9">
        <v>25</v>
      </c>
      <c r="AI15" s="9">
        <v>25</v>
      </c>
      <c r="AJ15" s="9">
        <v>25</v>
      </c>
      <c r="AK15" s="9">
        <v>25</v>
      </c>
      <c r="AL15" s="9">
        <v>30</v>
      </c>
      <c r="AM15" s="9">
        <v>30</v>
      </c>
      <c r="AN15" s="9">
        <v>30</v>
      </c>
      <c r="AO15" s="9">
        <v>30</v>
      </c>
      <c r="AP15" s="9">
        <v>30</v>
      </c>
      <c r="AQ15" s="63">
        <v>30</v>
      </c>
      <c r="AR15" s="214">
        <f t="shared" si="36"/>
        <v>330</v>
      </c>
    </row>
    <row r="16" spans="1:44" x14ac:dyDescent="0.25">
      <c r="A16" s="65" t="s">
        <v>66</v>
      </c>
      <c r="B16" s="65"/>
      <c r="C16" s="93">
        <f>R16</f>
        <v>824.00099999999975</v>
      </c>
      <c r="D16" s="93">
        <f>AE16</f>
        <v>1016.0000000000002</v>
      </c>
      <c r="E16" s="104">
        <f>AR16</f>
        <v>1604.0800000000002</v>
      </c>
      <c r="F16" s="66">
        <f>F4+F10+F11+F12+F13+F14+F15</f>
        <v>67.606999999999999</v>
      </c>
      <c r="G16" s="67">
        <f t="shared" ref="G16:S16" si="37">G4+G10+G11+G12+G13+G14+G15</f>
        <v>67.606999999999999</v>
      </c>
      <c r="H16" s="67">
        <f t="shared" si="37"/>
        <v>67.606999999999999</v>
      </c>
      <c r="I16" s="67">
        <f t="shared" si="37"/>
        <v>67.606999999999999</v>
      </c>
      <c r="J16" s="67">
        <f t="shared" si="37"/>
        <v>67.606999999999999</v>
      </c>
      <c r="K16" s="67">
        <f t="shared" si="37"/>
        <v>67.606999999999999</v>
      </c>
      <c r="L16" s="67">
        <f t="shared" si="37"/>
        <v>67.606999999999999</v>
      </c>
      <c r="M16" s="67">
        <f t="shared" si="37"/>
        <v>67.606999999999999</v>
      </c>
      <c r="N16" s="67">
        <f t="shared" si="37"/>
        <v>67.606999999999999</v>
      </c>
      <c r="O16" s="67">
        <f t="shared" si="37"/>
        <v>67.606999999999999</v>
      </c>
      <c r="P16" s="67">
        <f t="shared" si="37"/>
        <v>69.106999999999999</v>
      </c>
      <c r="Q16" s="68">
        <f t="shared" si="37"/>
        <v>78.823999999999984</v>
      </c>
      <c r="R16" s="221">
        <f t="shared" si="32"/>
        <v>824.00099999999975</v>
      </c>
      <c r="S16" s="66">
        <f t="shared" si="37"/>
        <v>78.245000000000005</v>
      </c>
      <c r="T16" s="67">
        <f t="shared" ref="T16" si="38">T4+T10+T11+T12+T13+T14+T15</f>
        <v>78.245000000000005</v>
      </c>
      <c r="U16" s="67">
        <f t="shared" ref="U16" si="39">U4+U10+U11+U12+U13+U14+U15</f>
        <v>78.245000000000005</v>
      </c>
      <c r="V16" s="67">
        <f t="shared" ref="V16" si="40">V4+V10+V11+V12+V13+V14+V15</f>
        <v>78.245000000000005</v>
      </c>
      <c r="W16" s="67">
        <f t="shared" ref="W16" si="41">W4+W10+W11+W12+W13+W14+W15</f>
        <v>79.474999999999994</v>
      </c>
      <c r="X16" s="67">
        <f t="shared" ref="X16" si="42">X4+X10+X11+X12+X13+X14+X15</f>
        <v>79.474999999999994</v>
      </c>
      <c r="Y16" s="67">
        <f t="shared" ref="Y16" si="43">Y4+Y10+Y11+Y12+Y13+Y14+Y15</f>
        <v>88.205000000000013</v>
      </c>
      <c r="Z16" s="67">
        <f t="shared" ref="Z16" si="44">Z4+Z10+Z11+Z12+Z13+Z14+Z15</f>
        <v>88.205000000000013</v>
      </c>
      <c r="AA16" s="67">
        <f t="shared" ref="AA16" si="45">AA4+AA10+AA11+AA12+AA13+AA14+AA15</f>
        <v>88.205000000000013</v>
      </c>
      <c r="AB16" s="67">
        <f t="shared" ref="AB16" si="46">AB4+AB10+AB11+AB12+AB13+AB14+AB15</f>
        <v>88.205000000000013</v>
      </c>
      <c r="AC16" s="67">
        <f t="shared" ref="AC16" si="47">AC4+AC10+AC11+AC12+AC13+AC14+AC15</f>
        <v>90.705000000000013</v>
      </c>
      <c r="AD16" s="68">
        <f t="shared" ref="AD16" si="48">AD4+AD10+AD11+AD12+AD13+AD14+AD15</f>
        <v>100.545</v>
      </c>
      <c r="AE16" s="221">
        <f t="shared" ref="AE16" si="49">SUM(S16:AD16)</f>
        <v>1016.0000000000002</v>
      </c>
      <c r="AF16" s="66">
        <f>AF4+AF10+AF11+AF12+AF13+AF14+AF15</f>
        <v>115.80500000000001</v>
      </c>
      <c r="AG16" s="67">
        <f t="shared" ref="AG16:AQ16" si="50">AG4+AG10+AG11+AG12+AG13+AG14+AG15</f>
        <v>118.30500000000001</v>
      </c>
      <c r="AH16" s="67">
        <f t="shared" si="50"/>
        <v>123.30500000000001</v>
      </c>
      <c r="AI16" s="67">
        <f t="shared" si="50"/>
        <v>123.30500000000001</v>
      </c>
      <c r="AJ16" s="67">
        <f t="shared" si="50"/>
        <v>123.30500000000001</v>
      </c>
      <c r="AK16" s="67">
        <f t="shared" si="50"/>
        <v>123.30500000000001</v>
      </c>
      <c r="AL16" s="67">
        <f t="shared" si="50"/>
        <v>144.875</v>
      </c>
      <c r="AM16" s="67">
        <f t="shared" si="50"/>
        <v>144.875</v>
      </c>
      <c r="AN16" s="67">
        <f t="shared" si="50"/>
        <v>144.875</v>
      </c>
      <c r="AO16" s="67">
        <f t="shared" si="50"/>
        <v>147.375</v>
      </c>
      <c r="AP16" s="67">
        <f t="shared" si="50"/>
        <v>147.375</v>
      </c>
      <c r="AQ16" s="68">
        <f t="shared" si="50"/>
        <v>147.375</v>
      </c>
      <c r="AR16" s="219">
        <f t="shared" ref="AR16" si="51">SUM(AF16:AQ16)</f>
        <v>1604.0800000000002</v>
      </c>
    </row>
    <row r="17" spans="1:44" x14ac:dyDescent="0.25">
      <c r="A17" s="38"/>
      <c r="B17" s="38"/>
      <c r="C17" s="38"/>
      <c r="D17" s="38"/>
      <c r="E17" s="38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4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157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4"/>
    </row>
    <row r="18" spans="1:44" x14ac:dyDescent="0.25">
      <c r="A18" s="81" t="s">
        <v>35</v>
      </c>
      <c r="B18" s="103"/>
      <c r="C18" s="105"/>
      <c r="D18" s="105"/>
      <c r="E18" s="105"/>
      <c r="F18" s="77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9"/>
      <c r="R18" s="80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9"/>
      <c r="AE18" s="15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9"/>
      <c r="AR18" s="80"/>
    </row>
    <row r="19" spans="1:44" x14ac:dyDescent="0.25">
      <c r="A19" s="54" t="s">
        <v>63</v>
      </c>
      <c r="B19" s="54"/>
      <c r="C19" s="61">
        <f>R19</f>
        <v>174</v>
      </c>
      <c r="D19" s="61">
        <f>AE19</f>
        <v>318</v>
      </c>
      <c r="E19" s="64">
        <f>AR19</f>
        <v>402</v>
      </c>
      <c r="F19" s="9">
        <f>SUM(F20:F21)</f>
        <v>14.5</v>
      </c>
      <c r="G19" s="9">
        <f>SUM(G20:G21)</f>
        <v>14.5</v>
      </c>
      <c r="H19" s="9">
        <f t="shared" ref="H19:Q19" si="52">SUM(H20:H21)</f>
        <v>14.5</v>
      </c>
      <c r="I19" s="9">
        <f t="shared" si="52"/>
        <v>14.5</v>
      </c>
      <c r="J19" s="9">
        <f t="shared" si="52"/>
        <v>14.5</v>
      </c>
      <c r="K19" s="9">
        <f t="shared" si="52"/>
        <v>14.5</v>
      </c>
      <c r="L19" s="9">
        <f t="shared" si="52"/>
        <v>14.5</v>
      </c>
      <c r="M19" s="9">
        <f t="shared" si="52"/>
        <v>14.5</v>
      </c>
      <c r="N19" s="9">
        <f t="shared" si="52"/>
        <v>14.5</v>
      </c>
      <c r="O19" s="9">
        <f t="shared" si="52"/>
        <v>14.5</v>
      </c>
      <c r="P19" s="9">
        <f t="shared" si="52"/>
        <v>14.5</v>
      </c>
      <c r="Q19" s="9">
        <f t="shared" si="52"/>
        <v>14.5</v>
      </c>
      <c r="R19" s="153">
        <f t="shared" ref="R19:R27" si="53">SUM(F19:Q19)</f>
        <v>174</v>
      </c>
      <c r="S19" s="9">
        <f>SUM(S20:S21)</f>
        <v>23</v>
      </c>
      <c r="T19" s="7">
        <f>SUM(T20:T21)</f>
        <v>23</v>
      </c>
      <c r="U19" s="7">
        <f t="shared" ref="U19:AD19" si="54">SUM(U20:U21)</f>
        <v>23</v>
      </c>
      <c r="V19" s="7">
        <f t="shared" si="54"/>
        <v>23</v>
      </c>
      <c r="W19" s="7">
        <f t="shared" si="54"/>
        <v>23</v>
      </c>
      <c r="X19" s="7">
        <f t="shared" si="54"/>
        <v>23</v>
      </c>
      <c r="Y19" s="7">
        <f t="shared" si="54"/>
        <v>30</v>
      </c>
      <c r="Z19" s="7">
        <f t="shared" si="54"/>
        <v>30</v>
      </c>
      <c r="AA19" s="7">
        <f t="shared" si="54"/>
        <v>30</v>
      </c>
      <c r="AB19" s="7">
        <f t="shared" si="54"/>
        <v>30</v>
      </c>
      <c r="AC19" s="7">
        <f t="shared" si="54"/>
        <v>30</v>
      </c>
      <c r="AD19" s="7">
        <f t="shared" si="54"/>
        <v>30</v>
      </c>
      <c r="AE19" s="159">
        <f t="shared" ref="AE19:AE27" si="55">SUM(S19:AD19)</f>
        <v>318</v>
      </c>
      <c r="AF19" s="9">
        <f>SUM(AF20:AF21)</f>
        <v>30</v>
      </c>
      <c r="AG19" s="9">
        <f>SUM(AG20:AG21)</f>
        <v>30</v>
      </c>
      <c r="AH19" s="9">
        <f t="shared" ref="AH19:AQ19" si="56">SUM(AH20:AH21)</f>
        <v>30</v>
      </c>
      <c r="AI19" s="9">
        <f t="shared" si="56"/>
        <v>30</v>
      </c>
      <c r="AJ19" s="9">
        <f t="shared" si="56"/>
        <v>30</v>
      </c>
      <c r="AK19" s="9">
        <f t="shared" si="56"/>
        <v>30</v>
      </c>
      <c r="AL19" s="9">
        <f t="shared" si="56"/>
        <v>37</v>
      </c>
      <c r="AM19" s="9">
        <f t="shared" si="56"/>
        <v>37</v>
      </c>
      <c r="AN19" s="9">
        <f t="shared" si="56"/>
        <v>37</v>
      </c>
      <c r="AO19" s="9">
        <f t="shared" si="56"/>
        <v>37</v>
      </c>
      <c r="AP19" s="9">
        <f t="shared" si="56"/>
        <v>37</v>
      </c>
      <c r="AQ19" s="9">
        <f t="shared" si="56"/>
        <v>37</v>
      </c>
      <c r="AR19" s="159">
        <f t="shared" ref="AR19:AR27" si="57">SUM(AF19:AQ19)</f>
        <v>402</v>
      </c>
    </row>
    <row r="20" spans="1:44" x14ac:dyDescent="0.25">
      <c r="A20" s="70" t="s">
        <v>62</v>
      </c>
      <c r="B20" s="70"/>
      <c r="C20" s="92">
        <f>R20</f>
        <v>90</v>
      </c>
      <c r="D20" s="92">
        <f t="shared" ref="D20:D21" si="58">AE20</f>
        <v>108</v>
      </c>
      <c r="E20" s="101">
        <f t="shared" ref="E20:E34" si="59">AR20</f>
        <v>108</v>
      </c>
      <c r="F20" s="10">
        <v>7.5</v>
      </c>
      <c r="G20" s="10">
        <v>7.5</v>
      </c>
      <c r="H20" s="10">
        <v>7.5</v>
      </c>
      <c r="I20" s="10">
        <v>7.5</v>
      </c>
      <c r="J20" s="10">
        <v>7.5</v>
      </c>
      <c r="K20" s="10">
        <v>7.5</v>
      </c>
      <c r="L20" s="10">
        <v>7.5</v>
      </c>
      <c r="M20" s="10">
        <v>7.5</v>
      </c>
      <c r="N20" s="10">
        <v>7.5</v>
      </c>
      <c r="O20" s="10">
        <v>7.5</v>
      </c>
      <c r="P20" s="10">
        <v>7.5</v>
      </c>
      <c r="Q20" s="10">
        <v>7.5</v>
      </c>
      <c r="R20" s="154">
        <f t="shared" si="53"/>
        <v>90</v>
      </c>
      <c r="S20" s="10">
        <v>9</v>
      </c>
      <c r="T20" s="10">
        <v>9</v>
      </c>
      <c r="U20" s="10">
        <v>9</v>
      </c>
      <c r="V20" s="10">
        <v>9</v>
      </c>
      <c r="W20" s="10">
        <v>9</v>
      </c>
      <c r="X20" s="10">
        <v>9</v>
      </c>
      <c r="Y20" s="10">
        <v>9</v>
      </c>
      <c r="Z20" s="10">
        <v>9</v>
      </c>
      <c r="AA20" s="10">
        <v>9</v>
      </c>
      <c r="AB20" s="10">
        <v>9</v>
      </c>
      <c r="AC20" s="10">
        <v>9</v>
      </c>
      <c r="AD20" s="10">
        <v>9</v>
      </c>
      <c r="AE20" s="72">
        <f t="shared" si="55"/>
        <v>108</v>
      </c>
      <c r="AF20" s="10">
        <v>9</v>
      </c>
      <c r="AG20" s="10">
        <v>9</v>
      </c>
      <c r="AH20" s="10">
        <v>9</v>
      </c>
      <c r="AI20" s="10">
        <v>9</v>
      </c>
      <c r="AJ20" s="10">
        <v>9</v>
      </c>
      <c r="AK20" s="10">
        <v>9</v>
      </c>
      <c r="AL20" s="10">
        <v>9</v>
      </c>
      <c r="AM20" s="10">
        <v>9</v>
      </c>
      <c r="AN20" s="10">
        <v>9</v>
      </c>
      <c r="AO20" s="10">
        <v>9</v>
      </c>
      <c r="AP20" s="10">
        <v>9</v>
      </c>
      <c r="AQ20" s="10">
        <v>9</v>
      </c>
      <c r="AR20" s="72">
        <f t="shared" si="57"/>
        <v>108</v>
      </c>
    </row>
    <row r="21" spans="1:44" x14ac:dyDescent="0.25">
      <c r="A21" s="70" t="s">
        <v>56</v>
      </c>
      <c r="B21" s="70"/>
      <c r="C21" s="92">
        <f t="shared" ref="C21:C22" si="60">R21</f>
        <v>84</v>
      </c>
      <c r="D21" s="92">
        <f t="shared" si="58"/>
        <v>210</v>
      </c>
      <c r="E21" s="101">
        <f t="shared" si="59"/>
        <v>294</v>
      </c>
      <c r="F21" s="10">
        <v>7</v>
      </c>
      <c r="G21" s="10">
        <v>7</v>
      </c>
      <c r="H21" s="10">
        <v>7</v>
      </c>
      <c r="I21" s="10">
        <v>7</v>
      </c>
      <c r="J21" s="10">
        <v>7</v>
      </c>
      <c r="K21" s="10">
        <v>7</v>
      </c>
      <c r="L21" s="10">
        <v>7</v>
      </c>
      <c r="M21" s="10">
        <v>7</v>
      </c>
      <c r="N21" s="10">
        <v>7</v>
      </c>
      <c r="O21" s="10">
        <v>7</v>
      </c>
      <c r="P21" s="10">
        <v>7</v>
      </c>
      <c r="Q21" s="10">
        <v>7</v>
      </c>
      <c r="R21" s="154">
        <f t="shared" si="53"/>
        <v>84</v>
      </c>
      <c r="S21" s="10">
        <v>14</v>
      </c>
      <c r="T21" s="10">
        <v>14</v>
      </c>
      <c r="U21" s="10">
        <v>14</v>
      </c>
      <c r="V21" s="10">
        <v>14</v>
      </c>
      <c r="W21" s="10">
        <v>14</v>
      </c>
      <c r="X21" s="10">
        <v>14</v>
      </c>
      <c r="Y21" s="10">
        <v>21</v>
      </c>
      <c r="Z21" s="10">
        <v>21</v>
      </c>
      <c r="AA21" s="10">
        <v>21</v>
      </c>
      <c r="AB21" s="10">
        <v>21</v>
      </c>
      <c r="AC21" s="10">
        <v>21</v>
      </c>
      <c r="AD21" s="10">
        <v>21</v>
      </c>
      <c r="AE21" s="72">
        <f t="shared" si="55"/>
        <v>210</v>
      </c>
      <c r="AF21" s="10">
        <v>21</v>
      </c>
      <c r="AG21" s="10">
        <v>21</v>
      </c>
      <c r="AH21" s="10">
        <v>21</v>
      </c>
      <c r="AI21" s="10">
        <v>21</v>
      </c>
      <c r="AJ21" s="10">
        <v>21</v>
      </c>
      <c r="AK21" s="10">
        <v>21</v>
      </c>
      <c r="AL21" s="10">
        <v>28</v>
      </c>
      <c r="AM21" s="10">
        <v>28</v>
      </c>
      <c r="AN21" s="10">
        <v>28</v>
      </c>
      <c r="AO21" s="10">
        <v>28</v>
      </c>
      <c r="AP21" s="10">
        <v>28</v>
      </c>
      <c r="AQ21" s="10">
        <v>28</v>
      </c>
      <c r="AR21" s="72">
        <f t="shared" si="57"/>
        <v>294</v>
      </c>
    </row>
    <row r="22" spans="1:44" x14ac:dyDescent="0.25">
      <c r="A22" s="56" t="s">
        <v>60</v>
      </c>
      <c r="B22" s="56"/>
      <c r="C22" s="61">
        <f t="shared" si="60"/>
        <v>40.020000000000003</v>
      </c>
      <c r="D22" s="61">
        <f>AE22</f>
        <v>73.14</v>
      </c>
      <c r="E22" s="64">
        <f t="shared" si="59"/>
        <v>92.460000000000008</v>
      </c>
      <c r="F22" s="9">
        <f t="shared" ref="F22:Q22" si="61">F19*$B$10</f>
        <v>3.335</v>
      </c>
      <c r="G22" s="9">
        <f t="shared" si="61"/>
        <v>3.335</v>
      </c>
      <c r="H22" s="9">
        <f t="shared" si="61"/>
        <v>3.335</v>
      </c>
      <c r="I22" s="9">
        <f t="shared" si="61"/>
        <v>3.335</v>
      </c>
      <c r="J22" s="9">
        <f t="shared" si="61"/>
        <v>3.335</v>
      </c>
      <c r="K22" s="9">
        <f t="shared" si="61"/>
        <v>3.335</v>
      </c>
      <c r="L22" s="9">
        <f t="shared" si="61"/>
        <v>3.335</v>
      </c>
      <c r="M22" s="9">
        <f t="shared" si="61"/>
        <v>3.335</v>
      </c>
      <c r="N22" s="9">
        <f t="shared" si="61"/>
        <v>3.335</v>
      </c>
      <c r="O22" s="9">
        <f t="shared" si="61"/>
        <v>3.335</v>
      </c>
      <c r="P22" s="9">
        <f t="shared" si="61"/>
        <v>3.335</v>
      </c>
      <c r="Q22" s="9">
        <f t="shared" si="61"/>
        <v>3.335</v>
      </c>
      <c r="R22" s="153">
        <f t="shared" si="53"/>
        <v>40.020000000000003</v>
      </c>
      <c r="S22" s="9">
        <f t="shared" ref="S22:AD22" si="62">S19*$B$10</f>
        <v>5.29</v>
      </c>
      <c r="T22" s="9">
        <f t="shared" si="62"/>
        <v>5.29</v>
      </c>
      <c r="U22" s="9">
        <f t="shared" si="62"/>
        <v>5.29</v>
      </c>
      <c r="V22" s="9">
        <f t="shared" si="62"/>
        <v>5.29</v>
      </c>
      <c r="W22" s="9">
        <f t="shared" si="62"/>
        <v>5.29</v>
      </c>
      <c r="X22" s="9">
        <f t="shared" si="62"/>
        <v>5.29</v>
      </c>
      <c r="Y22" s="9">
        <f t="shared" si="62"/>
        <v>6.9</v>
      </c>
      <c r="Z22" s="9">
        <f t="shared" si="62"/>
        <v>6.9</v>
      </c>
      <c r="AA22" s="9">
        <f t="shared" si="62"/>
        <v>6.9</v>
      </c>
      <c r="AB22" s="9">
        <f t="shared" si="62"/>
        <v>6.9</v>
      </c>
      <c r="AC22" s="9">
        <f t="shared" si="62"/>
        <v>6.9</v>
      </c>
      <c r="AD22" s="9">
        <f t="shared" si="62"/>
        <v>6.9</v>
      </c>
      <c r="AE22" s="159">
        <f t="shared" si="55"/>
        <v>73.14</v>
      </c>
      <c r="AF22" s="9">
        <v>6.9</v>
      </c>
      <c r="AG22" s="9">
        <f t="shared" ref="AG22:AQ22" si="63">AG19*$B$10</f>
        <v>6.9</v>
      </c>
      <c r="AH22" s="9">
        <f t="shared" si="63"/>
        <v>6.9</v>
      </c>
      <c r="AI22" s="9">
        <f t="shared" si="63"/>
        <v>6.9</v>
      </c>
      <c r="AJ22" s="9">
        <f t="shared" si="63"/>
        <v>6.9</v>
      </c>
      <c r="AK22" s="9">
        <f t="shared" si="63"/>
        <v>6.9</v>
      </c>
      <c r="AL22" s="9">
        <f t="shared" si="63"/>
        <v>8.51</v>
      </c>
      <c r="AM22" s="9">
        <f t="shared" si="63"/>
        <v>8.51</v>
      </c>
      <c r="AN22" s="9">
        <f t="shared" si="63"/>
        <v>8.51</v>
      </c>
      <c r="AO22" s="9">
        <f t="shared" si="63"/>
        <v>8.51</v>
      </c>
      <c r="AP22" s="9">
        <f t="shared" si="63"/>
        <v>8.51</v>
      </c>
      <c r="AQ22" s="9">
        <f t="shared" si="63"/>
        <v>8.51</v>
      </c>
      <c r="AR22" s="159">
        <f t="shared" si="57"/>
        <v>92.460000000000008</v>
      </c>
    </row>
    <row r="23" spans="1:44" x14ac:dyDescent="0.25">
      <c r="A23" s="56" t="s">
        <v>36</v>
      </c>
      <c r="B23" s="56"/>
      <c r="C23" s="61">
        <f>R23</f>
        <v>30</v>
      </c>
      <c r="D23" s="61">
        <f>AE23</f>
        <v>45</v>
      </c>
      <c r="E23" s="64">
        <f t="shared" si="59"/>
        <v>90</v>
      </c>
      <c r="F23" s="157">
        <v>5</v>
      </c>
      <c r="G23" s="157">
        <v>5</v>
      </c>
      <c r="H23" s="157">
        <v>5</v>
      </c>
      <c r="I23" s="157">
        <v>3</v>
      </c>
      <c r="J23" s="157">
        <v>3</v>
      </c>
      <c r="K23" s="157">
        <v>3</v>
      </c>
      <c r="L23" s="157">
        <v>2</v>
      </c>
      <c r="M23" s="157">
        <v>2</v>
      </c>
      <c r="N23" s="157">
        <v>2</v>
      </c>
      <c r="O23" s="157">
        <v>0</v>
      </c>
      <c r="P23" s="157">
        <v>0</v>
      </c>
      <c r="Q23" s="157">
        <v>0</v>
      </c>
      <c r="R23" s="153">
        <f t="shared" si="53"/>
        <v>30</v>
      </c>
      <c r="S23" s="49">
        <v>2.5</v>
      </c>
      <c r="T23" s="49">
        <v>2.5</v>
      </c>
      <c r="U23" s="49">
        <v>2.5</v>
      </c>
      <c r="V23" s="49">
        <v>2.5</v>
      </c>
      <c r="W23" s="49">
        <v>2.5</v>
      </c>
      <c r="X23" s="49">
        <v>2.5</v>
      </c>
      <c r="Y23" s="49">
        <v>5</v>
      </c>
      <c r="Z23" s="49">
        <v>5</v>
      </c>
      <c r="AA23" s="49">
        <v>5</v>
      </c>
      <c r="AB23" s="49">
        <v>5</v>
      </c>
      <c r="AC23" s="49">
        <v>5</v>
      </c>
      <c r="AD23" s="49">
        <v>5</v>
      </c>
      <c r="AE23" s="159">
        <f t="shared" si="55"/>
        <v>45</v>
      </c>
      <c r="AF23" s="157">
        <v>7.5</v>
      </c>
      <c r="AG23" s="157">
        <v>7.5</v>
      </c>
      <c r="AH23" s="157">
        <v>7.5</v>
      </c>
      <c r="AI23" s="157">
        <v>7.5</v>
      </c>
      <c r="AJ23" s="157">
        <v>7.5</v>
      </c>
      <c r="AK23" s="157">
        <v>7.5</v>
      </c>
      <c r="AL23" s="157">
        <v>7.5</v>
      </c>
      <c r="AM23" s="157">
        <v>7.5</v>
      </c>
      <c r="AN23" s="157">
        <v>7.5</v>
      </c>
      <c r="AO23" s="157">
        <v>7.5</v>
      </c>
      <c r="AP23" s="157">
        <v>7.5</v>
      </c>
      <c r="AQ23" s="157">
        <v>7.5</v>
      </c>
      <c r="AR23" s="159">
        <f t="shared" si="57"/>
        <v>90</v>
      </c>
    </row>
    <row r="24" spans="1:44" x14ac:dyDescent="0.25">
      <c r="A24" s="56" t="s">
        <v>91</v>
      </c>
      <c r="B24" s="70"/>
      <c r="C24" s="61">
        <f>R24</f>
        <v>6</v>
      </c>
      <c r="D24" s="61">
        <f>AE24</f>
        <v>6</v>
      </c>
      <c r="E24" s="64">
        <f t="shared" si="59"/>
        <v>12</v>
      </c>
      <c r="F24" s="157">
        <v>0.5</v>
      </c>
      <c r="G24" s="157">
        <v>0.5</v>
      </c>
      <c r="H24" s="157">
        <v>0.5</v>
      </c>
      <c r="I24" s="157">
        <v>0.5</v>
      </c>
      <c r="J24" s="157">
        <v>0.5</v>
      </c>
      <c r="K24" s="157">
        <v>0.5</v>
      </c>
      <c r="L24" s="157">
        <v>0.5</v>
      </c>
      <c r="M24" s="157">
        <v>0.5</v>
      </c>
      <c r="N24" s="157">
        <v>0.5</v>
      </c>
      <c r="O24" s="157">
        <v>0.5</v>
      </c>
      <c r="P24" s="157">
        <v>0.5</v>
      </c>
      <c r="Q24" s="157">
        <v>0.5</v>
      </c>
      <c r="R24" s="153">
        <f t="shared" si="53"/>
        <v>6</v>
      </c>
      <c r="S24" s="157">
        <v>0.5</v>
      </c>
      <c r="T24" s="157">
        <v>0.5</v>
      </c>
      <c r="U24" s="157">
        <v>0.5</v>
      </c>
      <c r="V24" s="157">
        <v>0.5</v>
      </c>
      <c r="W24" s="157">
        <v>0.5</v>
      </c>
      <c r="X24" s="157">
        <v>0.5</v>
      </c>
      <c r="Y24" s="157">
        <v>0.5</v>
      </c>
      <c r="Z24" s="157">
        <v>0.5</v>
      </c>
      <c r="AA24" s="157">
        <v>0.5</v>
      </c>
      <c r="AB24" s="157">
        <v>0.5</v>
      </c>
      <c r="AC24" s="157">
        <v>0.5</v>
      </c>
      <c r="AD24" s="157">
        <v>0.5</v>
      </c>
      <c r="AE24" s="159">
        <f t="shared" si="55"/>
        <v>6</v>
      </c>
      <c r="AF24" s="157">
        <v>1</v>
      </c>
      <c r="AG24" s="157">
        <v>1</v>
      </c>
      <c r="AH24" s="157">
        <v>1</v>
      </c>
      <c r="AI24" s="157">
        <v>1</v>
      </c>
      <c r="AJ24" s="157">
        <v>1</v>
      </c>
      <c r="AK24" s="157">
        <v>1</v>
      </c>
      <c r="AL24" s="157">
        <v>1</v>
      </c>
      <c r="AM24" s="157">
        <v>1</v>
      </c>
      <c r="AN24" s="157">
        <v>1</v>
      </c>
      <c r="AO24" s="157">
        <v>1</v>
      </c>
      <c r="AP24" s="157">
        <v>1</v>
      </c>
      <c r="AQ24" s="157">
        <v>1</v>
      </c>
      <c r="AR24" s="159">
        <f t="shared" si="57"/>
        <v>12</v>
      </c>
    </row>
    <row r="25" spans="1:44" x14ac:dyDescent="0.25">
      <c r="A25" s="54" t="s">
        <v>37</v>
      </c>
      <c r="B25" s="54"/>
      <c r="C25" s="61">
        <f>R25</f>
        <v>1</v>
      </c>
      <c r="D25" s="61">
        <f>AE25</f>
        <v>12</v>
      </c>
      <c r="E25" s="64">
        <f t="shared" si="59"/>
        <v>12</v>
      </c>
      <c r="F25" s="9">
        <v>1</v>
      </c>
      <c r="G25" s="9">
        <f>SUM(G26:G27)</f>
        <v>0</v>
      </c>
      <c r="H25" s="9">
        <f t="shared" ref="H25:P25" si="64">SUM(H26:H27)</f>
        <v>0</v>
      </c>
      <c r="I25" s="9">
        <f t="shared" si="64"/>
        <v>0</v>
      </c>
      <c r="J25" s="9">
        <f t="shared" si="64"/>
        <v>0</v>
      </c>
      <c r="K25" s="9">
        <f t="shared" si="64"/>
        <v>0</v>
      </c>
      <c r="L25" s="9">
        <f t="shared" si="64"/>
        <v>0</v>
      </c>
      <c r="M25" s="9">
        <f t="shared" si="64"/>
        <v>0</v>
      </c>
      <c r="N25" s="9">
        <f t="shared" si="64"/>
        <v>0</v>
      </c>
      <c r="O25" s="9">
        <f t="shared" si="64"/>
        <v>0</v>
      </c>
      <c r="P25" s="9">
        <f t="shared" si="64"/>
        <v>0</v>
      </c>
      <c r="Q25" s="9">
        <v>0</v>
      </c>
      <c r="R25" s="153">
        <f t="shared" si="53"/>
        <v>1</v>
      </c>
      <c r="S25" s="9">
        <v>1</v>
      </c>
      <c r="T25" s="9">
        <f>SUM(T26:T27)</f>
        <v>1</v>
      </c>
      <c r="U25" s="9">
        <f t="shared" ref="U25:AD25" si="65">SUM(U26:U27)</f>
        <v>1</v>
      </c>
      <c r="V25" s="9">
        <f t="shared" si="65"/>
        <v>1</v>
      </c>
      <c r="W25" s="9">
        <f t="shared" si="65"/>
        <v>1</v>
      </c>
      <c r="X25" s="9">
        <f t="shared" si="65"/>
        <v>1</v>
      </c>
      <c r="Y25" s="9">
        <f t="shared" si="65"/>
        <v>1</v>
      </c>
      <c r="Z25" s="9">
        <f t="shared" si="65"/>
        <v>1</v>
      </c>
      <c r="AA25" s="9">
        <f t="shared" si="65"/>
        <v>1</v>
      </c>
      <c r="AB25" s="9">
        <f t="shared" si="65"/>
        <v>1</v>
      </c>
      <c r="AC25" s="9">
        <f t="shared" si="65"/>
        <v>1</v>
      </c>
      <c r="AD25" s="9">
        <f t="shared" si="65"/>
        <v>1</v>
      </c>
      <c r="AE25" s="159">
        <f t="shared" si="55"/>
        <v>12</v>
      </c>
      <c r="AF25" s="9">
        <v>1</v>
      </c>
      <c r="AG25" s="9">
        <f>SUM(AG26:AG27)</f>
        <v>1</v>
      </c>
      <c r="AH25" s="9">
        <f t="shared" ref="AH25:AQ25" si="66">SUM(AH26:AH27)</f>
        <v>1</v>
      </c>
      <c r="AI25" s="9">
        <f t="shared" si="66"/>
        <v>1</v>
      </c>
      <c r="AJ25" s="9">
        <f t="shared" si="66"/>
        <v>1</v>
      </c>
      <c r="AK25" s="9">
        <f t="shared" si="66"/>
        <v>1</v>
      </c>
      <c r="AL25" s="9">
        <f t="shared" si="66"/>
        <v>1</v>
      </c>
      <c r="AM25" s="9">
        <f t="shared" si="66"/>
        <v>1</v>
      </c>
      <c r="AN25" s="9">
        <f t="shared" si="66"/>
        <v>1</v>
      </c>
      <c r="AO25" s="9">
        <f t="shared" si="66"/>
        <v>1</v>
      </c>
      <c r="AP25" s="9">
        <f t="shared" si="66"/>
        <v>1</v>
      </c>
      <c r="AQ25" s="9">
        <f t="shared" si="66"/>
        <v>1</v>
      </c>
      <c r="AR25" s="159">
        <f t="shared" si="57"/>
        <v>12</v>
      </c>
    </row>
    <row r="26" spans="1:44" x14ac:dyDescent="0.25">
      <c r="A26" s="70" t="s">
        <v>42</v>
      </c>
      <c r="B26" s="70"/>
      <c r="C26" s="92">
        <f>R26</f>
        <v>5</v>
      </c>
      <c r="D26" s="92">
        <f t="shared" ref="D26:D27" si="67">AE26</f>
        <v>5</v>
      </c>
      <c r="E26" s="101">
        <f t="shared" si="59"/>
        <v>10</v>
      </c>
      <c r="F26" s="10">
        <v>0</v>
      </c>
      <c r="G26" s="107">
        <v>0</v>
      </c>
      <c r="H26" s="107">
        <v>0</v>
      </c>
      <c r="I26" s="107">
        <v>0</v>
      </c>
      <c r="J26" s="107">
        <v>0</v>
      </c>
      <c r="K26" s="107">
        <v>0</v>
      </c>
      <c r="L26" s="107">
        <v>0</v>
      </c>
      <c r="M26" s="107">
        <v>0</v>
      </c>
      <c r="N26" s="107">
        <v>0</v>
      </c>
      <c r="O26" s="107">
        <v>0</v>
      </c>
      <c r="P26" s="107">
        <v>0</v>
      </c>
      <c r="Q26" s="107">
        <v>5</v>
      </c>
      <c r="R26" s="154">
        <f t="shared" si="53"/>
        <v>5</v>
      </c>
      <c r="S26" s="10">
        <v>5</v>
      </c>
      <c r="T26" s="107">
        <v>0</v>
      </c>
      <c r="U26" s="107">
        <v>0</v>
      </c>
      <c r="V26" s="107">
        <v>0</v>
      </c>
      <c r="W26" s="107">
        <v>0</v>
      </c>
      <c r="X26" s="107">
        <v>0</v>
      </c>
      <c r="Y26" s="107">
        <v>0</v>
      </c>
      <c r="Z26" s="107">
        <v>0</v>
      </c>
      <c r="AA26" s="107">
        <v>0</v>
      </c>
      <c r="AB26" s="107">
        <v>0</v>
      </c>
      <c r="AC26" s="107">
        <v>0</v>
      </c>
      <c r="AD26" s="107">
        <v>0</v>
      </c>
      <c r="AE26" s="72">
        <f t="shared" si="55"/>
        <v>5</v>
      </c>
      <c r="AF26" s="10">
        <v>10</v>
      </c>
      <c r="AG26" s="107">
        <v>0</v>
      </c>
      <c r="AH26" s="107">
        <v>0</v>
      </c>
      <c r="AI26" s="107">
        <v>0</v>
      </c>
      <c r="AJ26" s="107">
        <v>0</v>
      </c>
      <c r="AK26" s="107">
        <v>0</v>
      </c>
      <c r="AL26" s="107">
        <v>0</v>
      </c>
      <c r="AM26" s="107">
        <v>0</v>
      </c>
      <c r="AN26" s="107">
        <v>0</v>
      </c>
      <c r="AO26" s="107">
        <v>0</v>
      </c>
      <c r="AP26" s="107">
        <v>0</v>
      </c>
      <c r="AQ26" s="107">
        <v>0</v>
      </c>
      <c r="AR26" s="72">
        <f t="shared" si="57"/>
        <v>10</v>
      </c>
    </row>
    <row r="27" spans="1:44" x14ac:dyDescent="0.25">
      <c r="A27" s="70" t="s">
        <v>41</v>
      </c>
      <c r="B27" s="70"/>
      <c r="C27" s="92">
        <f>R27</f>
        <v>0</v>
      </c>
      <c r="D27" s="92">
        <f t="shared" si="67"/>
        <v>12</v>
      </c>
      <c r="E27" s="101">
        <f t="shared" si="59"/>
        <v>12</v>
      </c>
      <c r="F27" s="10">
        <v>0</v>
      </c>
      <c r="G27" s="107">
        <v>0</v>
      </c>
      <c r="H27" s="107">
        <v>0</v>
      </c>
      <c r="I27" s="107">
        <v>0</v>
      </c>
      <c r="J27" s="107">
        <v>0</v>
      </c>
      <c r="K27" s="107">
        <v>0</v>
      </c>
      <c r="L27" s="107">
        <v>0</v>
      </c>
      <c r="M27" s="107">
        <v>0</v>
      </c>
      <c r="N27" s="107">
        <v>0</v>
      </c>
      <c r="O27" s="107">
        <v>0</v>
      </c>
      <c r="P27" s="107">
        <v>0</v>
      </c>
      <c r="Q27" s="107">
        <v>0</v>
      </c>
      <c r="R27" s="154">
        <f t="shared" si="53"/>
        <v>0</v>
      </c>
      <c r="S27" s="10">
        <v>1</v>
      </c>
      <c r="T27" s="107">
        <v>1</v>
      </c>
      <c r="U27" s="107">
        <v>1</v>
      </c>
      <c r="V27" s="107">
        <v>1</v>
      </c>
      <c r="W27" s="107">
        <v>1</v>
      </c>
      <c r="X27" s="107">
        <v>1</v>
      </c>
      <c r="Y27" s="107">
        <v>1</v>
      </c>
      <c r="Z27" s="107">
        <v>1</v>
      </c>
      <c r="AA27" s="107">
        <v>1</v>
      </c>
      <c r="AB27" s="107">
        <v>1</v>
      </c>
      <c r="AC27" s="107">
        <v>1</v>
      </c>
      <c r="AD27" s="107">
        <v>1</v>
      </c>
      <c r="AE27" s="72">
        <f t="shared" si="55"/>
        <v>12</v>
      </c>
      <c r="AF27" s="10">
        <v>1</v>
      </c>
      <c r="AG27" s="107">
        <v>1</v>
      </c>
      <c r="AH27" s="107">
        <v>1</v>
      </c>
      <c r="AI27" s="107">
        <v>1</v>
      </c>
      <c r="AJ27" s="107">
        <v>1</v>
      </c>
      <c r="AK27" s="107">
        <v>1</v>
      </c>
      <c r="AL27" s="107">
        <v>1</v>
      </c>
      <c r="AM27" s="107">
        <v>1</v>
      </c>
      <c r="AN27" s="107">
        <v>1</v>
      </c>
      <c r="AO27" s="107">
        <v>1</v>
      </c>
      <c r="AP27" s="107">
        <v>1</v>
      </c>
      <c r="AQ27" s="107">
        <v>1</v>
      </c>
      <c r="AR27" s="72">
        <f t="shared" si="57"/>
        <v>12</v>
      </c>
    </row>
    <row r="28" spans="1:44" x14ac:dyDescent="0.25">
      <c r="A28" s="71"/>
      <c r="B28" s="71"/>
      <c r="C28" s="71"/>
      <c r="D28" s="71"/>
      <c r="E28" s="102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54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72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72"/>
    </row>
    <row r="29" spans="1:44" x14ac:dyDescent="0.25">
      <c r="A29" s="54" t="s">
        <v>68</v>
      </c>
      <c r="B29" s="54"/>
      <c r="C29" s="61">
        <f>R29</f>
        <v>0</v>
      </c>
      <c r="D29" s="61">
        <f>AE29</f>
        <v>30</v>
      </c>
      <c r="E29" s="64">
        <f t="shared" si="59"/>
        <v>92.5</v>
      </c>
      <c r="F29" s="157">
        <v>0</v>
      </c>
      <c r="G29" s="157">
        <v>0</v>
      </c>
      <c r="H29" s="157">
        <v>0</v>
      </c>
      <c r="I29" s="157">
        <v>0</v>
      </c>
      <c r="J29" s="157">
        <v>0</v>
      </c>
      <c r="K29" s="157">
        <v>0</v>
      </c>
      <c r="L29" s="157">
        <v>0</v>
      </c>
      <c r="M29" s="157">
        <v>0</v>
      </c>
      <c r="N29" s="157">
        <v>0</v>
      </c>
      <c r="O29" s="157">
        <v>0</v>
      </c>
      <c r="P29" s="157">
        <v>0</v>
      </c>
      <c r="Q29" s="157">
        <v>0</v>
      </c>
      <c r="R29" s="153">
        <f>SUM(F29:Q29)</f>
        <v>0</v>
      </c>
      <c r="S29" s="49">
        <v>2.5</v>
      </c>
      <c r="T29" s="49">
        <v>2.5</v>
      </c>
      <c r="U29" s="49">
        <v>2.5</v>
      </c>
      <c r="V29" s="49">
        <v>2.5</v>
      </c>
      <c r="W29" s="49">
        <v>2.5</v>
      </c>
      <c r="X29" s="49">
        <v>2.5</v>
      </c>
      <c r="Y29" s="49">
        <v>2.5</v>
      </c>
      <c r="Z29" s="49">
        <v>2.5</v>
      </c>
      <c r="AA29" s="49">
        <v>2.5</v>
      </c>
      <c r="AB29" s="49">
        <v>2.5</v>
      </c>
      <c r="AC29" s="49">
        <v>2.5</v>
      </c>
      <c r="AD29" s="49">
        <v>2.5</v>
      </c>
      <c r="AE29" s="159">
        <f>SUM(S29:AD29)</f>
        <v>30</v>
      </c>
      <c r="AF29" s="157">
        <v>5</v>
      </c>
      <c r="AG29" s="157">
        <v>5</v>
      </c>
      <c r="AH29" s="157">
        <v>5</v>
      </c>
      <c r="AI29" s="157">
        <v>7.5</v>
      </c>
      <c r="AJ29" s="157">
        <v>7.5</v>
      </c>
      <c r="AK29" s="157">
        <v>7.5</v>
      </c>
      <c r="AL29" s="157">
        <v>7.5</v>
      </c>
      <c r="AM29" s="157">
        <v>7.5</v>
      </c>
      <c r="AN29" s="157">
        <v>10</v>
      </c>
      <c r="AO29" s="157">
        <v>10</v>
      </c>
      <c r="AP29" s="157">
        <v>10</v>
      </c>
      <c r="AQ29" s="157">
        <v>10</v>
      </c>
      <c r="AR29" s="159">
        <f>SUM(AF29:AQ29)</f>
        <v>92.5</v>
      </c>
    </row>
    <row r="30" spans="1:44" x14ac:dyDescent="0.25">
      <c r="A30" s="54"/>
      <c r="B30" s="54"/>
      <c r="C30" s="54"/>
      <c r="D30" s="54"/>
      <c r="E30" s="53">
        <f t="shared" si="59"/>
        <v>0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54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72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72"/>
    </row>
    <row r="31" spans="1:44" x14ac:dyDescent="0.25">
      <c r="A31" s="54" t="s">
        <v>38</v>
      </c>
      <c r="B31" s="54"/>
      <c r="C31" s="61">
        <f>R31</f>
        <v>8</v>
      </c>
      <c r="D31" s="61">
        <f>AE31</f>
        <v>15</v>
      </c>
      <c r="E31" s="64">
        <f t="shared" si="59"/>
        <v>35</v>
      </c>
      <c r="F31" s="157">
        <v>5</v>
      </c>
      <c r="G31" s="157">
        <v>0</v>
      </c>
      <c r="H31" s="157">
        <v>0</v>
      </c>
      <c r="I31" s="157">
        <v>2</v>
      </c>
      <c r="J31" s="157">
        <v>0</v>
      </c>
      <c r="K31" s="157">
        <v>0</v>
      </c>
      <c r="L31" s="157">
        <v>0</v>
      </c>
      <c r="M31" s="157">
        <v>0</v>
      </c>
      <c r="N31" s="157">
        <v>0</v>
      </c>
      <c r="O31" s="157">
        <v>1</v>
      </c>
      <c r="P31" s="157">
        <v>0</v>
      </c>
      <c r="Q31" s="157">
        <v>0</v>
      </c>
      <c r="R31" s="153">
        <f>SUM(F31:Q31)</f>
        <v>8</v>
      </c>
      <c r="S31" s="157">
        <v>5</v>
      </c>
      <c r="T31" s="157">
        <v>0</v>
      </c>
      <c r="U31" s="157">
        <v>0</v>
      </c>
      <c r="V31" s="157">
        <v>2.5</v>
      </c>
      <c r="W31" s="157">
        <v>0</v>
      </c>
      <c r="X31" s="157">
        <v>0</v>
      </c>
      <c r="Y31" s="157">
        <v>5</v>
      </c>
      <c r="Z31" s="157">
        <v>0</v>
      </c>
      <c r="AA31" s="157">
        <v>0</v>
      </c>
      <c r="AB31" s="157">
        <v>2.5</v>
      </c>
      <c r="AC31" s="157">
        <v>0</v>
      </c>
      <c r="AD31" s="157">
        <v>0</v>
      </c>
      <c r="AE31" s="159">
        <f>SUM(S31:AD31)</f>
        <v>15</v>
      </c>
      <c r="AF31" s="157">
        <v>5</v>
      </c>
      <c r="AG31" s="157">
        <v>5</v>
      </c>
      <c r="AH31" s="157">
        <v>5</v>
      </c>
      <c r="AI31" s="157">
        <v>0</v>
      </c>
      <c r="AJ31" s="157">
        <v>0</v>
      </c>
      <c r="AK31" s="157">
        <v>5</v>
      </c>
      <c r="AL31" s="157">
        <v>5</v>
      </c>
      <c r="AM31" s="157">
        <v>0</v>
      </c>
      <c r="AN31" s="157">
        <v>0</v>
      </c>
      <c r="AO31" s="157">
        <v>5</v>
      </c>
      <c r="AP31" s="157">
        <v>5</v>
      </c>
      <c r="AQ31" s="157">
        <v>0</v>
      </c>
      <c r="AR31" s="159">
        <f>SUM(AF31:AQ31)</f>
        <v>35</v>
      </c>
    </row>
    <row r="32" spans="1:44" x14ac:dyDescent="0.25">
      <c r="A32" s="103" t="s">
        <v>45</v>
      </c>
      <c r="B32" s="103"/>
      <c r="C32" s="93">
        <f>R32</f>
        <v>259.02000000000004</v>
      </c>
      <c r="D32" s="104">
        <f>AE32</f>
        <v>499.13999999999987</v>
      </c>
      <c r="E32" s="93">
        <f t="shared" si="59"/>
        <v>735.95999999999992</v>
      </c>
      <c r="F32" s="220">
        <f>F19+F22+F23+F24+F25+F29+F31</f>
        <v>29.335000000000001</v>
      </c>
      <c r="G32" s="82">
        <f t="shared" ref="G32:S32" si="68">G19+G22+G23+G24+G25+G29+G31</f>
        <v>23.335000000000001</v>
      </c>
      <c r="H32" s="82">
        <f t="shared" si="68"/>
        <v>23.335000000000001</v>
      </c>
      <c r="I32" s="82">
        <f t="shared" si="68"/>
        <v>23.335000000000001</v>
      </c>
      <c r="J32" s="82">
        <f t="shared" si="68"/>
        <v>21.335000000000001</v>
      </c>
      <c r="K32" s="82">
        <f t="shared" si="68"/>
        <v>21.335000000000001</v>
      </c>
      <c r="L32" s="82">
        <f t="shared" si="68"/>
        <v>20.335000000000001</v>
      </c>
      <c r="M32" s="82">
        <f t="shared" si="68"/>
        <v>20.335000000000001</v>
      </c>
      <c r="N32" s="82">
        <f t="shared" si="68"/>
        <v>20.335000000000001</v>
      </c>
      <c r="O32" s="82">
        <f t="shared" si="68"/>
        <v>19.335000000000001</v>
      </c>
      <c r="P32" s="82">
        <f t="shared" si="68"/>
        <v>18.335000000000001</v>
      </c>
      <c r="Q32" s="82">
        <f t="shared" si="68"/>
        <v>18.335000000000001</v>
      </c>
      <c r="R32" s="156">
        <f>SUM(F32:Q32)</f>
        <v>259.02000000000004</v>
      </c>
      <c r="S32" s="89">
        <f t="shared" si="68"/>
        <v>39.79</v>
      </c>
      <c r="T32" s="89">
        <f t="shared" ref="T32" si="69">T19+T22+T23+T24+T25+T29+T31</f>
        <v>34.79</v>
      </c>
      <c r="U32" s="89">
        <f t="shared" ref="U32" si="70">U19+U22+U23+U24+U25+U29+U31</f>
        <v>34.79</v>
      </c>
      <c r="V32" s="89">
        <f t="shared" ref="V32" si="71">V19+V22+V23+V24+V25+V29+V31</f>
        <v>37.29</v>
      </c>
      <c r="W32" s="89">
        <f t="shared" ref="W32" si="72">W19+W22+W23+W24+W25+W29+W31</f>
        <v>34.79</v>
      </c>
      <c r="X32" s="89">
        <f t="shared" ref="X32" si="73">X19+X22+X23+X24+X25+X29+X31</f>
        <v>34.79</v>
      </c>
      <c r="Y32" s="89">
        <f t="shared" ref="Y32" si="74">Y19+Y22+Y23+Y24+Y25+Y29+Y31</f>
        <v>50.9</v>
      </c>
      <c r="Z32" s="89">
        <f t="shared" ref="Z32" si="75">Z19+Z22+Z23+Z24+Z25+Z29+Z31</f>
        <v>45.9</v>
      </c>
      <c r="AA32" s="89">
        <f t="shared" ref="AA32" si="76">AA19+AA22+AA23+AA24+AA25+AA29+AA31</f>
        <v>45.9</v>
      </c>
      <c r="AB32" s="89">
        <f t="shared" ref="AB32" si="77">AB19+AB22+AB23+AB24+AB25+AB29+AB31</f>
        <v>48.4</v>
      </c>
      <c r="AC32" s="89">
        <f t="shared" ref="AC32" si="78">AC19+AC22+AC23+AC24+AC25+AC29+AC31</f>
        <v>45.9</v>
      </c>
      <c r="AD32" s="89">
        <f t="shared" ref="AD32:AF32" si="79">AD19+AD22+AD23+AD24+AD25+AD29+AD31</f>
        <v>45.9</v>
      </c>
      <c r="AE32" s="83">
        <f>SUM(S32:AD32)</f>
        <v>499.13999999999987</v>
      </c>
      <c r="AF32" s="220">
        <f t="shared" si="79"/>
        <v>56.4</v>
      </c>
      <c r="AG32" s="82">
        <f t="shared" ref="AG32" si="80">AG19+AG22+AG23+AG24+AG25+AG29+AG31</f>
        <v>56.4</v>
      </c>
      <c r="AH32" s="82">
        <f t="shared" ref="AH32" si="81">AH19+AH22+AH23+AH24+AH25+AH29+AH31</f>
        <v>56.4</v>
      </c>
      <c r="AI32" s="82">
        <f t="shared" ref="AI32" si="82">AI19+AI22+AI23+AI24+AI25+AI29+AI31</f>
        <v>53.9</v>
      </c>
      <c r="AJ32" s="82">
        <f t="shared" ref="AJ32" si="83">AJ19+AJ22+AJ23+AJ24+AJ25+AJ29+AJ31</f>
        <v>53.9</v>
      </c>
      <c r="AK32" s="82">
        <f t="shared" ref="AK32" si="84">AK19+AK22+AK23+AK24+AK25+AK29+AK31</f>
        <v>58.9</v>
      </c>
      <c r="AL32" s="82">
        <f t="shared" ref="AL32" si="85">AL19+AL22+AL23+AL24+AL25+AL29+AL31</f>
        <v>67.509999999999991</v>
      </c>
      <c r="AM32" s="82">
        <f t="shared" ref="AM32" si="86">AM19+AM22+AM23+AM24+AM25+AM29+AM31</f>
        <v>62.51</v>
      </c>
      <c r="AN32" s="82">
        <f t="shared" ref="AN32" si="87">AN19+AN22+AN23+AN24+AN25+AN29+AN31</f>
        <v>65.009999999999991</v>
      </c>
      <c r="AO32" s="82">
        <f t="shared" ref="AO32" si="88">AO19+AO22+AO23+AO24+AO25+AO29+AO31</f>
        <v>70.009999999999991</v>
      </c>
      <c r="AP32" s="82">
        <f t="shared" ref="AP32" si="89">AP19+AP22+AP23+AP24+AP25+AP29+AP31</f>
        <v>70.009999999999991</v>
      </c>
      <c r="AQ32" s="222">
        <f t="shared" ref="AQ32" si="90">AQ19+AQ22+AQ23+AQ24+AQ25+AQ29+AQ31</f>
        <v>65.009999999999991</v>
      </c>
      <c r="AR32" s="83">
        <f>SUM(AF32:AQ32)</f>
        <v>735.95999999999992</v>
      </c>
    </row>
    <row r="34" spans="1:44" x14ac:dyDescent="0.25">
      <c r="A34" s="86" t="s">
        <v>67</v>
      </c>
      <c r="B34" s="86"/>
      <c r="C34" s="85">
        <f>R34</f>
        <v>6</v>
      </c>
      <c r="D34" s="85">
        <f>AE34</f>
        <v>42</v>
      </c>
      <c r="E34" s="85">
        <f t="shared" si="59"/>
        <v>42</v>
      </c>
      <c r="F34" s="223">
        <v>0.5</v>
      </c>
      <c r="G34" s="223">
        <v>0.5</v>
      </c>
      <c r="H34" s="223">
        <v>0.5</v>
      </c>
      <c r="I34" s="223">
        <v>0.5</v>
      </c>
      <c r="J34" s="223">
        <v>0.5</v>
      </c>
      <c r="K34" s="223">
        <v>0.5</v>
      </c>
      <c r="L34" s="223">
        <v>0.5</v>
      </c>
      <c r="M34" s="223">
        <v>0.5</v>
      </c>
      <c r="N34" s="223">
        <v>0.5</v>
      </c>
      <c r="O34" s="223">
        <v>0.5</v>
      </c>
      <c r="P34" s="223">
        <v>0.5</v>
      </c>
      <c r="Q34" s="223">
        <v>0.5</v>
      </c>
      <c r="R34" s="85">
        <f>SUM(F34:Q34)</f>
        <v>6</v>
      </c>
      <c r="S34" s="84">
        <v>3.5</v>
      </c>
      <c r="T34" s="84">
        <v>3.5</v>
      </c>
      <c r="U34" s="84">
        <v>3.5</v>
      </c>
      <c r="V34" s="84">
        <v>3.5</v>
      </c>
      <c r="W34" s="84">
        <v>3.5</v>
      </c>
      <c r="X34" s="84">
        <v>3.5</v>
      </c>
      <c r="Y34" s="84">
        <v>3.5</v>
      </c>
      <c r="Z34" s="84">
        <v>3.5</v>
      </c>
      <c r="AA34" s="84">
        <v>3.5</v>
      </c>
      <c r="AB34" s="84">
        <v>3.5</v>
      </c>
      <c r="AC34" s="84">
        <v>3.5</v>
      </c>
      <c r="AD34" s="84">
        <v>3.5</v>
      </c>
      <c r="AE34" s="155">
        <f>SUM(S34:AD34)</f>
        <v>42</v>
      </c>
      <c r="AF34" s="84">
        <v>3.5</v>
      </c>
      <c r="AG34" s="84">
        <v>3.5</v>
      </c>
      <c r="AH34" s="84">
        <v>3.5</v>
      </c>
      <c r="AI34" s="84">
        <v>3.5</v>
      </c>
      <c r="AJ34" s="84">
        <v>3.5</v>
      </c>
      <c r="AK34" s="84">
        <v>3.5</v>
      </c>
      <c r="AL34" s="84">
        <v>3.5</v>
      </c>
      <c r="AM34" s="84">
        <v>3.5</v>
      </c>
      <c r="AN34" s="84">
        <v>3.5</v>
      </c>
      <c r="AO34" s="84">
        <v>3.5</v>
      </c>
      <c r="AP34" s="84">
        <v>3.5</v>
      </c>
      <c r="AQ34" s="84">
        <v>3.5</v>
      </c>
      <c r="AR34" s="155">
        <f>SUM(AF34:AQ34)</f>
        <v>42</v>
      </c>
    </row>
    <row r="36" spans="1:44" x14ac:dyDescent="0.25">
      <c r="A36" s="74" t="s">
        <v>69</v>
      </c>
      <c r="B36" s="74"/>
      <c r="C36" s="104">
        <f>C16+C32+C34</f>
        <v>1089.0209999999997</v>
      </c>
      <c r="D36" s="104">
        <f>D16+D32+D34</f>
        <v>1557.14</v>
      </c>
      <c r="E36" s="104">
        <f>E16+E32+E34</f>
        <v>2382.04</v>
      </c>
      <c r="F36" s="88">
        <f>F16+F32+F34</f>
        <v>97.442000000000007</v>
      </c>
      <c r="G36" s="75">
        <f t="shared" ref="G36:AR36" si="91">G16+G32+G34</f>
        <v>91.442000000000007</v>
      </c>
      <c r="H36" s="75">
        <f t="shared" si="91"/>
        <v>91.442000000000007</v>
      </c>
      <c r="I36" s="75">
        <f t="shared" si="91"/>
        <v>91.442000000000007</v>
      </c>
      <c r="J36" s="75">
        <f t="shared" si="91"/>
        <v>89.442000000000007</v>
      </c>
      <c r="K36" s="75">
        <f t="shared" si="91"/>
        <v>89.442000000000007</v>
      </c>
      <c r="L36" s="75">
        <f t="shared" si="91"/>
        <v>88.442000000000007</v>
      </c>
      <c r="M36" s="75">
        <f t="shared" si="91"/>
        <v>88.442000000000007</v>
      </c>
      <c r="N36" s="75">
        <f t="shared" si="91"/>
        <v>88.442000000000007</v>
      </c>
      <c r="O36" s="75">
        <f t="shared" si="91"/>
        <v>87.442000000000007</v>
      </c>
      <c r="P36" s="75">
        <f t="shared" si="91"/>
        <v>87.942000000000007</v>
      </c>
      <c r="Q36" s="76">
        <f t="shared" si="91"/>
        <v>97.658999999999992</v>
      </c>
      <c r="R36" s="87">
        <f>SUM(F36:Q36)</f>
        <v>1089.0210000000002</v>
      </c>
      <c r="S36" s="108">
        <f t="shared" ref="S36:AE36" si="92">S16+S32+S34</f>
        <v>121.535</v>
      </c>
      <c r="T36" s="108">
        <f t="shared" si="92"/>
        <v>116.535</v>
      </c>
      <c r="U36" s="108">
        <f t="shared" si="92"/>
        <v>116.535</v>
      </c>
      <c r="V36" s="108">
        <f t="shared" si="92"/>
        <v>119.035</v>
      </c>
      <c r="W36" s="108">
        <f t="shared" si="92"/>
        <v>117.76499999999999</v>
      </c>
      <c r="X36" s="108">
        <f t="shared" si="92"/>
        <v>117.76499999999999</v>
      </c>
      <c r="Y36" s="108">
        <f t="shared" si="92"/>
        <v>142.60500000000002</v>
      </c>
      <c r="Z36" s="108">
        <f t="shared" si="92"/>
        <v>137.60500000000002</v>
      </c>
      <c r="AA36" s="108">
        <f t="shared" si="92"/>
        <v>137.60500000000002</v>
      </c>
      <c r="AB36" s="108">
        <f t="shared" si="92"/>
        <v>140.10500000000002</v>
      </c>
      <c r="AC36" s="108">
        <f t="shared" si="92"/>
        <v>140.10500000000002</v>
      </c>
      <c r="AD36" s="108">
        <f t="shared" si="92"/>
        <v>149.94499999999999</v>
      </c>
      <c r="AE36" s="109">
        <f t="shared" si="92"/>
        <v>1557.14</v>
      </c>
      <c r="AF36" s="75">
        <f t="shared" si="91"/>
        <v>175.70500000000001</v>
      </c>
      <c r="AG36" s="75">
        <f t="shared" si="91"/>
        <v>178.20500000000001</v>
      </c>
      <c r="AH36" s="75">
        <f t="shared" si="91"/>
        <v>183.20500000000001</v>
      </c>
      <c r="AI36" s="75">
        <f t="shared" si="91"/>
        <v>180.70500000000001</v>
      </c>
      <c r="AJ36" s="75">
        <f t="shared" si="91"/>
        <v>180.70500000000001</v>
      </c>
      <c r="AK36" s="75">
        <f t="shared" si="91"/>
        <v>185.70500000000001</v>
      </c>
      <c r="AL36" s="75">
        <f t="shared" si="91"/>
        <v>215.88499999999999</v>
      </c>
      <c r="AM36" s="75">
        <f t="shared" si="91"/>
        <v>210.88499999999999</v>
      </c>
      <c r="AN36" s="75">
        <f t="shared" si="91"/>
        <v>213.38499999999999</v>
      </c>
      <c r="AO36" s="75">
        <f t="shared" si="91"/>
        <v>220.88499999999999</v>
      </c>
      <c r="AP36" s="75">
        <f t="shared" si="91"/>
        <v>220.88499999999999</v>
      </c>
      <c r="AQ36" s="75">
        <f t="shared" si="91"/>
        <v>215.88499999999999</v>
      </c>
      <c r="AR36" s="73">
        <f t="shared" si="91"/>
        <v>2382.04</v>
      </c>
    </row>
  </sheetData>
  <mergeCells count="3">
    <mergeCell ref="S1:AE1"/>
    <mergeCell ref="AF1:AR1"/>
    <mergeCell ref="F1:Q1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36aa21cd-0745-4691-9c6e-2732b6c1aa40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D48A10CDA9CB442A20102543FF21087" ma:contentTypeVersion="24" ma:contentTypeDescription="Ein neues Dokument erstellen." ma:contentTypeScope="" ma:versionID="22a493754f68215d65252778869c9527">
  <xsd:schema xmlns:xsd="http://www.w3.org/2001/XMLSchema" xmlns:xs="http://www.w3.org/2001/XMLSchema" xmlns:p="http://schemas.microsoft.com/office/2006/metadata/properties" xmlns:ns1="http://schemas.microsoft.com/sharepoint/v3" xmlns:ns2="c4ffc9b4-0204-476d-91d6-9cdd6d633cc0" xmlns:ns3="5125939e-60d3-4ba7-b0e9-1def58c6f69d" targetNamespace="http://schemas.microsoft.com/office/2006/metadata/properties" ma:root="true" ma:fieldsID="5143995a3055c4be9fe1e0479414b311" ns1:_="" ns2:_="" ns3:_="">
    <xsd:import namespace="http://schemas.microsoft.com/sharepoint/v3"/>
    <xsd:import namespace="c4ffc9b4-0204-476d-91d6-9cdd6d633cc0"/>
    <xsd:import namespace="5125939e-60d3-4ba7-b0e9-1def58c6f69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21" nillable="true" ma:displayName="Bewertung (0 - 5)" ma:decimals="2" ma:description="Mittelwert aller Bewertungen, die abgegeben wurden." ma:internalName="AverageRating" ma:readOnly="true">
      <xsd:simpleType>
        <xsd:restriction base="dms:Number"/>
      </xsd:simpleType>
    </xsd:element>
    <xsd:element name="RatingCount" ma:index="22" nillable="true" ma:displayName="Anzahl Bewertungen" ma:decimals="0" ma:description="Anzahl abgegebener Bewertungen" ma:internalName="RatingCount" ma:readOnly="true">
      <xsd:simpleType>
        <xsd:restriction base="dms:Number"/>
      </xsd:simpleType>
    </xsd:element>
    <xsd:element name="RatedBy" ma:index="23" nillable="true" ma:displayName="Bewertet von" ma:description="Benutzer haben das Element bewertet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24" nillable="true" ma:displayName="Benutzerbewertungen" ma:description="Bewertungen für das Element" ma:hidden="true" ma:internalName="Ratings">
      <xsd:simpleType>
        <xsd:restriction base="dms:Note"/>
      </xsd:simpleType>
    </xsd:element>
    <xsd:element name="LikesCount" ma:index="25" nillable="true" ma:displayName="Anzahl 'Gefällt mir'" ma:internalName="LikesCount">
      <xsd:simpleType>
        <xsd:restriction base="dms:Unknown"/>
      </xsd:simpleType>
    </xsd:element>
    <xsd:element name="LikedBy" ma:index="26" nillable="true" ma:displayName="Gefällt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ffc9b4-0204-476d-91d6-9cdd6d633cc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823a54b5-8f4a-4992-99c9-cd6dc587ae9c}" ma:internalName="TaxCatchAll" ma:showField="CatchAllData" ma:web="c4ffc9b4-0204-476d-91d6-9cdd6d633c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25939e-60d3-4ba7-b0e9-1def58c6f6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Bildmarkierungen" ma:readOnly="false" ma:fieldId="{5cf76f15-5ced-4ddc-b409-7134ff3c332f}" ma:taxonomyMulti="true" ma:sspId="36aa21cd-0745-4691-9c6e-2732b6c1aa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Ratings xmlns="http://schemas.microsoft.com/sharepoint/v3" xsi:nil="true"/>
    <TaxCatchAll xmlns="c4ffc9b4-0204-476d-91d6-9cdd6d633cc0" xsi:nil="true"/>
    <LikedBy xmlns="http://schemas.microsoft.com/sharepoint/v3">
      <UserInfo>
        <DisplayName/>
        <AccountId xsi:nil="true"/>
        <AccountType/>
      </UserInfo>
    </LikedBy>
    <RatedBy xmlns="http://schemas.microsoft.com/sharepoint/v3">
      <UserInfo>
        <DisplayName/>
        <AccountId xsi:nil="true"/>
        <AccountType/>
      </UserInfo>
    </RatedBy>
    <lcf76f155ced4ddcb4097134ff3c332f xmlns="5125939e-60d3-4ba7-b0e9-1def58c6f69d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86E1B0-75EB-4CDB-885E-4B9124C73D7A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31D5CF37-4990-4328-8890-D0783596A5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4ffc9b4-0204-476d-91d6-9cdd6d633cc0"/>
    <ds:schemaRef ds:uri="5125939e-60d3-4ba7-b0e9-1def58c6f6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194081-E8EE-423F-BD5C-5446F19C16E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4ffc9b4-0204-476d-91d6-9cdd6d633cc0"/>
    <ds:schemaRef ds:uri="5125939e-60d3-4ba7-b0e9-1def58c6f69d"/>
  </ds:schemaRefs>
</ds:datastoreItem>
</file>

<file path=customXml/itemProps4.xml><?xml version="1.0" encoding="utf-8"?>
<ds:datastoreItem xmlns:ds="http://schemas.openxmlformats.org/officeDocument/2006/customXml" ds:itemID="{EBC117DC-A3DA-426B-AA29-48F57383CC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Exec Summary</vt:lpstr>
      <vt:lpstr>Umsatz Absatz Y 1-3</vt:lpstr>
      <vt:lpstr>Kosten Y 1-3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Haroon Ahmad | Origem Medical</dc:creator>
  <cp:keywords/>
  <dc:description/>
  <cp:lastModifiedBy>Marcus Schmitz</cp:lastModifiedBy>
  <cp:revision/>
  <dcterms:created xsi:type="dcterms:W3CDTF">2025-05-27T07:05:50Z</dcterms:created>
  <dcterms:modified xsi:type="dcterms:W3CDTF">2025-06-13T16:54:46Z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0x0101007D48A10CDA9CB442A20102543FF21087</vt:lpwstr>
  </property>
  <property fmtid="{D5CDD505-2E9C-101B-9397-08002B2CF9AE}" pid="3" name="MediaServiceImageTags">
    <vt:lpwstr/>
  </property>
</Properties>
</file>